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Ó TRÁFE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A1A2E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30" customWidth="1" min="4" max="4"/>
    <col width="24" customWidth="1" min="5" max="5"/>
    <col width="42" customWidth="1" min="6" max="6"/>
    <col width="36" customWidth="1" min="7" max="7"/>
  </cols>
  <sheetData>
    <row r="1" ht="30" customHeight="1">
      <c r="A1" s="1" t="inlineStr">
        <is>
          <t>🎯 LEADS — SÓ TRÁFEGO PAGO | PSICOLOGIA · SAÚDE · ESTÉTICA · MÓVEIS PLANEJADOS | Semana 3 — ABRIL</t>
        </is>
      </c>
    </row>
    <row r="2" ht="18" customHeight="1">
      <c r="A2" s="2" t="inlineStr">
        <is>
          <t>Total de leads: 20</t>
        </is>
      </c>
    </row>
    <row r="3" ht="32" customHeight="1">
      <c r="A3" s="3" t="inlineStr">
        <is>
          <t>NOME</t>
        </is>
      </c>
      <c r="B3" s="3" t="inlineStr">
        <is>
          <t>CIDADE</t>
        </is>
      </c>
      <c r="C3" s="3" t="inlineStr">
        <is>
          <t>NICHO</t>
        </is>
      </c>
      <c r="D3" s="3" t="inlineStr">
        <is>
          <t>INSTAGRAM</t>
        </is>
      </c>
      <c r="E3" s="3" t="inlineStr">
        <is>
          <t>TELEFONE / WHATSAPP</t>
        </is>
      </c>
      <c r="F3" s="3" t="inlineStr">
        <is>
          <t>PRINCIPAL PROBLEMA</t>
        </is>
      </c>
      <c r="G3" s="3" t="inlineStr">
        <is>
          <t>MÉTRICAS BÁSICAS</t>
        </is>
      </c>
    </row>
    <row r="4" ht="48" customHeight="1">
      <c r="A4" s="4" t="inlineStr">
        <is>
          <t>Suélen Lopes Paula</t>
        </is>
      </c>
      <c r="B4" s="5" t="inlineStr">
        <is>
          <t>Passo Fundo</t>
        </is>
      </c>
      <c r="C4" s="5" t="inlineStr">
        <is>
          <t>Psicologia</t>
        </is>
      </c>
      <c r="D4" s="6">
        <f>HYPERLINK("https://www.instagram.com/suhpaula.psi/","@suhpaula.psi")</f>
        <v/>
      </c>
      <c r="E4" s="7" t="inlineStr"/>
      <c r="F4" s="5" t="inlineStr">
        <is>
          <t>Boa produção de conteúdo e frequência regular (631 posts), mas alcance limitado para o tamanho do mercado de PF. Tráfego pago ampliaria captação de novos pacientes.</t>
        </is>
      </c>
      <c r="G4" s="5" t="inlineStr">
        <is>
          <t>5.033 seguidores · 631 posts · frequência regular · conteúdo de qualidade</t>
        </is>
      </c>
    </row>
    <row r="5" ht="48" customHeight="1">
      <c r="A5" s="8" t="inlineStr">
        <is>
          <t>Linda Rech — Psicóloga Clínica</t>
        </is>
      </c>
      <c r="B5" s="9" t="inlineStr">
        <is>
          <t>Passo Fundo</t>
        </is>
      </c>
      <c r="C5" s="9" t="inlineStr">
        <is>
          <t>Psicologia</t>
        </is>
      </c>
      <c r="D5" s="10">
        <f>HYPERLINK("https://www.instagram.com/lindarech.psicologa/","@lindarech.psicologa")</f>
        <v/>
      </c>
      <c r="E5" s="11" t="inlineStr"/>
      <c r="F5" s="9" t="inlineStr">
        <is>
          <t>Perfil ativo (428 posts) com identidade de conteúdo clara. Alcance orgânico estagnado — tráfego pago aceleraria preenchimento de agenda.</t>
        </is>
      </c>
      <c r="G5" s="9" t="inlineStr">
        <is>
          <t>5.488 seguidores · 428 posts · frequência regular · atendimento presencial e online</t>
        </is>
      </c>
    </row>
    <row r="6" ht="48" customHeight="1">
      <c r="A6" s="4" t="inlineStr">
        <is>
          <t>Fernanda Stumpf — Psicóloga</t>
        </is>
      </c>
      <c r="B6" s="5" t="inlineStr">
        <is>
          <t>Passo Fundo</t>
        </is>
      </c>
      <c r="C6" s="5" t="inlineStr">
        <is>
          <t>Psicologia</t>
        </is>
      </c>
      <c r="D6" s="6">
        <f>HYPERLINK("https://www.instagram.com/psicologa.fernandastumpf/","@psicologa.fernandastumpf")</f>
        <v/>
      </c>
      <c r="E6" s="7" t="inlineStr"/>
      <c r="F6" s="5" t="inlineStr">
        <is>
          <t>Produz reels e conteúdo com regularidade. 2.1k de seguidores indica bom trabalho orgânico, mas tráfego pago pode dobrar a captação rapidamente.</t>
        </is>
      </c>
      <c r="G6" s="5" t="inlineStr">
        <is>
          <t>2.101 seguidores · frequência de reels · TCC · Passo Fundo e online</t>
        </is>
      </c>
    </row>
    <row r="7" ht="48" customHeight="1">
      <c r="A7" s="8" t="inlineStr">
        <is>
          <t>Madria — Clínica para Elas</t>
        </is>
      </c>
      <c r="B7" s="9" t="inlineStr">
        <is>
          <t>Passo Fundo</t>
        </is>
      </c>
      <c r="C7" s="9" t="inlineStr">
        <is>
          <t>Saúde Feminina</t>
        </is>
      </c>
      <c r="D7" s="10">
        <f>HYPERLINK("https://www.instagram.com/clinicamadria/","@clinicamadria")</f>
        <v/>
      </c>
      <c r="E7" s="11" t="inlineStr"/>
      <c r="F7" s="9" t="inlineStr">
        <is>
          <t>7k+ seguidores mas alcance ainda local. Tráfego pago segmentado por mulheres na região de PF pode gerar volume de novas consultas mensalmente.</t>
        </is>
      </c>
      <c r="G7" s="9" t="inlineStr">
        <is>
          <t>7.295 seguidores · saúde feminina · frequência regular</t>
        </is>
      </c>
    </row>
    <row r="8" ht="48" customHeight="1">
      <c r="A8" s="4" t="inlineStr">
        <is>
          <t>Prontoclínica PF</t>
        </is>
      </c>
      <c r="B8" s="5" t="inlineStr">
        <is>
          <t>Passo Fundo</t>
        </is>
      </c>
      <c r="C8" s="5" t="inlineStr">
        <is>
          <t>Saúde / Hospital</t>
        </is>
      </c>
      <c r="D8" s="6">
        <f>HYPERLINK("https://www.instagram.com/prontoclinicapf/","@prontoclinicapf")</f>
        <v/>
      </c>
      <c r="E8" s="7" t="inlineStr"/>
      <c r="F8" s="5" t="inlineStr">
        <is>
          <t>Hospital com boa base de seguidores mas saturado em conteúdo institucional. Tráfego pago para serviços específicos (pronto atendimento, consultas) aumentaria ROI.</t>
        </is>
      </c>
      <c r="G8" s="5" t="inlineStr">
        <is>
          <t>8.017 seguidores · conteúdo regular · planos de saúde</t>
        </is>
      </c>
    </row>
    <row r="9" ht="48" customHeight="1">
      <c r="A9" s="8" t="inlineStr">
        <is>
          <t>Mariana Possan — Pilates/Fisio</t>
        </is>
      </c>
      <c r="B9" s="9" t="inlineStr">
        <is>
          <t>Passo Fundo</t>
        </is>
      </c>
      <c r="C9" s="9" t="inlineStr">
        <is>
          <t>Fisioterapia / Pilates</t>
        </is>
      </c>
      <c r="D9" s="10">
        <f>HYPERLINK("https://www.instagram.com/fisiomarianapossan/","@fisiomarianapossan")</f>
        <v/>
      </c>
      <c r="E9" s="11" t="inlineStr"/>
      <c r="F9" s="9" t="inlineStr">
        <is>
          <t>7 anos de experiência, conteúdo de qualidade e frequência boa. Alcance estagnado — tráfego pago local aceleraria captação de alunos de pilates.</t>
        </is>
      </c>
      <c r="G9" s="9" t="inlineStr">
        <is>
          <t>2.583 seguidores · fisioterapia + pilates · 7 anos de atividade</t>
        </is>
      </c>
    </row>
    <row r="10" ht="48" customHeight="1">
      <c r="A10" s="4" t="inlineStr">
        <is>
          <t>OdontoTop Passo Fundo</t>
        </is>
      </c>
      <c r="B10" s="5" t="inlineStr">
        <is>
          <t>Passo Fundo</t>
        </is>
      </c>
      <c r="C10" s="5" t="inlineStr">
        <is>
          <t>Odontologia</t>
        </is>
      </c>
      <c r="D10" s="6">
        <f>HYPERLINK("https://www.instagram.com/odontotoppassofundo/","@odontotoppassofundo")</f>
        <v/>
      </c>
      <c r="E10" s="6">
        <f>HYPERLINK("tel:+555432540330","(54) 3254-0330")</f>
        <v/>
      </c>
      <c r="F10" s="5" t="inlineStr">
        <is>
          <t>Rede odontológica com boa presença, mas alcance limitado para o porte. Tráfego pago para estética dental (clareamento, facetas) geraria demanda rápida.</t>
        </is>
      </c>
      <c r="G10" s="5" t="inlineStr">
        <is>
          <t>3.861 seguidores · rede odontológica · frequência regular</t>
        </is>
      </c>
    </row>
    <row r="11" ht="48" customHeight="1">
      <c r="A11" s="8" t="inlineStr">
        <is>
          <t>Odontoclin Passo Fundo</t>
        </is>
      </c>
      <c r="B11" s="9" t="inlineStr">
        <is>
          <t>Passo Fundo</t>
        </is>
      </c>
      <c r="C11" s="9" t="inlineStr">
        <is>
          <t>Odontologia</t>
        </is>
      </c>
      <c r="D11" s="10">
        <f>HYPERLINK("https://www.instagram.com/odontoclin_passofundo/","@odontoclin_passofundo")</f>
        <v/>
      </c>
      <c r="E11" s="11" t="inlineStr"/>
      <c r="F11" s="9" t="inlineStr">
        <is>
          <t>20 anos de referência em PF. Perfil ativo com boa frequência. Tráfego pago para captação de novos pacientes em serviços de alto ticket (implantes, ortodontia).</t>
        </is>
      </c>
      <c r="G11" s="9" t="inlineStr">
        <is>
          <t>4.202 seguidores · 20 anos de mercado · frequência regular</t>
        </is>
      </c>
    </row>
    <row r="12" ht="48" customHeight="1">
      <c r="A12" s="4" t="inlineStr">
        <is>
          <t>Recupperar Clínica</t>
        </is>
      </c>
      <c r="B12" s="5" t="inlineStr">
        <is>
          <t>Passo Fundo</t>
        </is>
      </c>
      <c r="C12" s="5" t="inlineStr">
        <is>
          <t>Saúde / Reabilitação</t>
        </is>
      </c>
      <c r="D12" s="6">
        <f>HYPERLINK("https://www.instagram.com/clinicarecupperar/","@clinicarecupperar")</f>
        <v/>
      </c>
      <c r="E12" s="7" t="inlineStr"/>
      <c r="F12" s="5" t="inlineStr">
        <is>
          <t>296 posts com frequência razoável. Alcance limitado para clínica de reabilitação. Tráfego segmentado por perfil de paciente aumentaria eficiência da captação.</t>
        </is>
      </c>
      <c r="G12" s="5" t="inlineStr">
        <is>
          <t>1.990 seguidores · 296 posts · reabilitação · Passo Fundo</t>
        </is>
      </c>
    </row>
    <row r="13" ht="48" customHeight="1">
      <c r="A13" s="8" t="inlineStr">
        <is>
          <t>SmartFit Passo Fundo</t>
        </is>
      </c>
      <c r="B13" s="9" t="inlineStr">
        <is>
          <t>Passo Fundo</t>
        </is>
      </c>
      <c r="C13" s="9" t="inlineStr">
        <is>
          <t>Academia / Fitness</t>
        </is>
      </c>
      <c r="D13" s="10">
        <f>HYPERLINK("https://www.instagram.com/smartfit_passofundo/","@smartfit_passofundo")</f>
        <v/>
      </c>
      <c r="E13" s="11" t="inlineStr"/>
      <c r="F13" s="9" t="inlineStr">
        <is>
          <t>Academia de rede com boa base mas sem diferencial de alcance local. Tráfego pago segmentado para PF pode dobrar conversões de planos mensais e anuais.</t>
        </is>
      </c>
      <c r="G13" s="9" t="inlineStr">
        <is>
          <t>8.484 seguidores · academia de rede · posts frequentes</t>
        </is>
      </c>
    </row>
    <row r="14" ht="48" customHeight="1">
      <c r="A14" s="4" t="inlineStr">
        <is>
          <t>Virtuosa — Estética e Emagrecimento</t>
        </is>
      </c>
      <c r="B14" s="5" t="inlineStr">
        <is>
          <t>Passo Fundo</t>
        </is>
      </c>
      <c r="C14" s="5" t="inlineStr">
        <is>
          <t>Estética</t>
        </is>
      </c>
      <c r="D14" s="6">
        <f>HYPERLINK("https://www.instagram.com/virtuosapassofundocentro/","@virtuosapassofundocentro")</f>
        <v/>
      </c>
      <c r="E14" s="7" t="inlineStr"/>
      <c r="F14" s="5" t="inlineStr">
        <is>
          <t>Perfil muito ativo (1.440 posts), com protocolo de emagrecimento exclusivo. Grande volume de conteúdo, mas ainda restrito a alcance orgânico. Tráfego pago explodiria a captação.</t>
        </is>
      </c>
      <c r="G14" s="5" t="inlineStr">
        <is>
          <t>9.373 seguidores · 1.440 posts · avaliação gratuita · horário estendido</t>
        </is>
      </c>
    </row>
    <row r="15" ht="48" customHeight="1">
      <c r="A15" s="8" t="inlineStr">
        <is>
          <t>Clínica Contour</t>
        </is>
      </c>
      <c r="B15" s="9" t="inlineStr">
        <is>
          <t>Passo Fundo</t>
        </is>
      </c>
      <c r="C15" s="9" t="inlineStr">
        <is>
          <t>Estética / Plástica</t>
        </is>
      </c>
      <c r="D15" s="10">
        <f>HYPERLINK("https://www.instagram.com/clinicacontour/","@clinicacontour")</f>
        <v/>
      </c>
      <c r="E15" s="11" t="inlineStr"/>
      <c r="F15" s="9" t="inlineStr">
        <is>
          <t>Clínica multidisciplinar com 8.9k seguidores e 1k+ posts. Perfil ativo e qualificado. Tráfego pago para procedimentos específicos de alto valor (harmonização, dermatologia) maximizaria retorno.</t>
        </is>
      </c>
      <c r="G15" s="9" t="inlineStr">
        <is>
          <t>8.944 seguidores · 1.033 posts · plástica + dermatologia + fisio</t>
        </is>
      </c>
    </row>
    <row r="16" ht="48" customHeight="1">
      <c r="A16" s="4" t="inlineStr">
        <is>
          <t>Tuanne Ribeiro — Harmonização Facial</t>
        </is>
      </c>
      <c r="B16" s="5" t="inlineStr">
        <is>
          <t>Passo Fundo</t>
        </is>
      </c>
      <c r="C16" s="5" t="inlineStr">
        <is>
          <t>Estética / Harmonização Facial</t>
        </is>
      </c>
      <c r="D16" s="6">
        <f>HYPERLINK("https://www.instagram.com/dratuannemrb/","@dratuannemrb")</f>
        <v/>
      </c>
      <c r="E16" s="7" t="inlineStr"/>
      <c r="F16" s="5" t="inlineStr">
        <is>
          <t>Profissional com 8.7k seguidores e 396 posts. Conteúdo focado em resultados e educação. Tráfego pago para harmonização e procedimentos estéticos expandiria agenda rapidamente.</t>
        </is>
      </c>
      <c r="G16" s="5" t="inlineStr">
        <is>
          <t>8.725 seguidores · 396 posts · harmonização facial · método Pele Iluminada</t>
        </is>
      </c>
    </row>
    <row r="17" ht="48" customHeight="1">
      <c r="A17" s="8" t="inlineStr">
        <is>
          <t>Estetic Face Passo Fundo</t>
        </is>
      </c>
      <c r="B17" s="9" t="inlineStr">
        <is>
          <t>Passo Fundo</t>
        </is>
      </c>
      <c r="C17" s="9" t="inlineStr">
        <is>
          <t>Estética Corporal e Facial</t>
        </is>
      </c>
      <c r="D17" s="10">
        <f>HYPERLINK("https://www.instagram.com/esteticface.passofundo/","@esteticface.passofundo")</f>
        <v/>
      </c>
      <c r="E17" s="11" t="inlineStr"/>
      <c r="F17" s="9" t="inlineStr">
        <is>
          <t>Rede ativa com reels e promoções recentes. Boa frequência de posts. Tráfego pago para promoções sazonais geraria ROI imediato para os serviços da clínica.</t>
        </is>
      </c>
      <c r="G17" s="9" t="inlineStr">
        <is>
          <t>rede ativa · reels frequentes · promoções sazonais · Passo Fundo Shopping</t>
        </is>
      </c>
    </row>
    <row r="18" ht="48" customHeight="1">
      <c r="A18" s="4" t="inlineStr">
        <is>
          <t>JF Beauty Studio — Jessica Fauth</t>
        </is>
      </c>
      <c r="B18" s="5" t="inlineStr">
        <is>
          <t>Passo Fundo</t>
        </is>
      </c>
      <c r="C18" s="5" t="inlineStr">
        <is>
          <t>Estética / Beleza</t>
        </is>
      </c>
      <c r="D18" s="6">
        <f>HYPERLINK("https://www.instagram.com/jessicafauthbeauty/","@jessicafauthbeauty")</f>
        <v/>
      </c>
      <c r="E18" s="7" t="inlineStr"/>
      <c r="F18" s="5" t="inlineStr">
        <is>
          <t>Studio de beleza ativo no Instagram com frequência razoável. Tráfego pago segmentado para sobrancelha, cílios e skincare em PF aumentaria agenda.</t>
        </is>
      </c>
      <c r="G18" s="5" t="inlineStr">
        <is>
          <t>studio de beleza · Passo Fundo · frequência regular</t>
        </is>
      </c>
    </row>
    <row r="19" ht="48" customHeight="1">
      <c r="A19" s="8" t="inlineStr">
        <is>
          <t>Finger Móveis Planejados</t>
        </is>
      </c>
      <c r="B19" s="9" t="inlineStr">
        <is>
          <t>Passo Fundo</t>
        </is>
      </c>
      <c r="C19" s="9" t="inlineStr">
        <is>
          <t>Móveis Planejados</t>
        </is>
      </c>
      <c r="D19" s="10">
        <f>HYPERLINK("https://www.instagram.com/fingerpassofundo/","@fingerpassofundo")</f>
        <v/>
      </c>
      <c r="E19" s="11" t="inlineStr"/>
      <c r="F19" s="9" t="inlineStr">
        <is>
          <t>Perfil muito ativo (720 posts) com excelente frequência. Conteúdo de qualidade com projetos. Tráfego pago para captação de novos orçamentos aceleraria o funil de vendas.</t>
        </is>
      </c>
      <c r="G19" s="9" t="inlineStr">
        <is>
          <t>4.321 seguidores · 720 posts · design europeu · 47 anos de mercado</t>
        </is>
      </c>
    </row>
    <row r="20" ht="48" customHeight="1">
      <c r="A20" s="4" t="inlineStr">
        <is>
          <t>Tibolla Móveis Sob Medida</t>
        </is>
      </c>
      <c r="B20" s="5" t="inlineStr">
        <is>
          <t>Passo Fundo</t>
        </is>
      </c>
      <c r="C20" s="5" t="inlineStr">
        <is>
          <t>Móveis Planejados</t>
        </is>
      </c>
      <c r="D20" s="6">
        <f>HYPERLINK("https://www.instagram.com/tibollamoveispf/","@tibollamoveispf")</f>
        <v/>
      </c>
      <c r="E20" s="7" t="inlineStr"/>
      <c r="F20" s="5" t="inlineStr">
        <is>
          <t>Empresa com 37 anos no mercado e perfil ativo. Boa base de seguidores mas ainda dependente de indicação. Tráfego pago para cozinhas e dormitórios geraria leads qualificados.</t>
        </is>
      </c>
      <c r="G20" s="5" t="inlineStr">
        <is>
          <t>2.998 seguidores · desde 1987 · móveis sob medida · Passo Fundo</t>
        </is>
      </c>
    </row>
    <row r="21" ht="48" customHeight="1">
      <c r="A21" s="8" t="inlineStr">
        <is>
          <t>Exclusiva Boa Vista — Planejados PF</t>
        </is>
      </c>
      <c r="B21" s="9" t="inlineStr">
        <is>
          <t>Passo Fundo</t>
        </is>
      </c>
      <c r="C21" s="9" t="inlineStr">
        <is>
          <t>Móveis Planejados</t>
        </is>
      </c>
      <c r="D21" s="10">
        <f>HYPERLINK("https://www.instagram.com/exclusivaboavistapf/","@exclusivaboavistapf")</f>
        <v/>
      </c>
      <c r="E21" s="10">
        <f>HYPERLINK("tel:+555433117393","(54) 3311-7393")</f>
        <v/>
      </c>
      <c r="F21" s="9" t="inlineStr">
        <is>
          <t>230 posts com frequência regular e projetos expostos. Alcance orgânico limitado. Tráfego pago para captação de orçamentos aumentaria o pipeline comercial.</t>
        </is>
      </c>
      <c r="G21" s="9" t="inlineStr">
        <is>
          <t>2.922 seguidores · 230 posts · projetos e execução · Passo Fundo</t>
        </is>
      </c>
    </row>
    <row r="22" ht="48" customHeight="1">
      <c r="A22" s="4" t="inlineStr">
        <is>
          <t>Reabilitare PF</t>
        </is>
      </c>
      <c r="B22" s="5" t="inlineStr">
        <is>
          <t>Passo Fundo</t>
        </is>
      </c>
      <c r="C22" s="5" t="inlineStr">
        <is>
          <t>Fisioterapia / Saúde</t>
        </is>
      </c>
      <c r="D22" s="6">
        <f>HYPERLINK("https://www.instagram.com/reabilitarepf/","@reabilitarepf")</f>
        <v/>
      </c>
      <c r="E22" s="7" t="inlineStr"/>
      <c r="F22" s="5" t="inlineStr">
        <is>
          <t>Clínica de fisioterapia com serviços especializados (osteopatia, acupuntura). Perfil ativo no Instagram. Tráfego pago para captação de novos pacientes por especialidade.</t>
        </is>
      </c>
      <c r="G22" s="5" t="inlineStr">
        <is>
          <t>fisioterapia · osteopatia · acupuntura · Passo Fundo</t>
        </is>
      </c>
    </row>
    <row r="23" ht="48" customHeight="1">
      <c r="A23" s="8" t="inlineStr">
        <is>
          <t>Vitalle Estética — Daniela</t>
        </is>
      </c>
      <c r="B23" s="9" t="inlineStr">
        <is>
          <t>Passo Fundo</t>
        </is>
      </c>
      <c r="C23" s="9" t="inlineStr">
        <is>
          <t>Estética Corporal e Facial</t>
        </is>
      </c>
      <c r="D23" s="10">
        <f>HYPERLINK("https://www.instagram.com/vitalle_dani/","@vitalle_dani")</f>
        <v/>
      </c>
      <c r="E23" s="11" t="inlineStr"/>
      <c r="F23" s="9" t="inlineStr">
        <is>
          <t>Estética corporal e facial com presença no Instagram. Conteúdo razoável mas alcance orgânico limitado. Tráfego pago para procedimentos específicos aumentaria a agenda.</t>
        </is>
      </c>
      <c r="G23" s="9" t="inlineStr">
        <is>
          <t>estética corporal e facial · Passo Fundo · frequência moderada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2026-04-16T02:15:34Z</dcterms:created>
  <dcterms:modified xmlns:dcterms="http://purl.org/dc/terms/" xmlns:xsi="http://www.w3.org/2001/XMLSchema-instance" xsi:type="dcterms:W3CDTF">2026-04-16T02:15:34Z</dcterms:modified>
</cp:coreProperties>
</file>