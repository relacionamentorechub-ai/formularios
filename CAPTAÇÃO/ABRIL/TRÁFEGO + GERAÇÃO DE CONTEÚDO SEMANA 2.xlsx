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ÁFEGO + CONTEÚ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0" customWidth="1" min="4" max="4"/>
    <col width="24" customWidth="1" min="5" max="5"/>
    <col width="42" customWidth="1" min="6" max="6"/>
    <col width="36" customWidth="1" min="7" max="7"/>
  </cols>
  <sheetData>
    <row r="1" ht="30" customHeight="1">
      <c r="A1" s="1" t="inlineStr">
        <is>
          <t>🎯 LEADS — TRÁFEGO + GERAÇÃO DE CONTEÚDO | SAÚDE &amp; ESTÉTICA | Semana 2 — ABRIL</t>
        </is>
      </c>
    </row>
    <row r="2" ht="18" customHeight="1">
      <c r="A2" s="2" t="inlineStr">
        <is>
          <t>Total de leads: 40</t>
        </is>
      </c>
    </row>
    <row r="3" ht="32" customHeight="1">
      <c r="A3" s="3" t="inlineStr">
        <is>
          <t>NOME</t>
        </is>
      </c>
      <c r="B3" s="3" t="inlineStr">
        <is>
          <t>CIDADE</t>
        </is>
      </c>
      <c r="C3" s="3" t="inlineStr">
        <is>
          <t>NICHO</t>
        </is>
      </c>
      <c r="D3" s="3" t="inlineStr">
        <is>
          <t>INSTAGRAM</t>
        </is>
      </c>
      <c r="E3" s="3" t="inlineStr">
        <is>
          <t>TELEFONE / WHATSAPP</t>
        </is>
      </c>
      <c r="F3" s="3" t="inlineStr">
        <is>
          <t>PRINCIPAL PROBLEMA</t>
        </is>
      </c>
      <c r="G3" s="3" t="inlineStr">
        <is>
          <t>MÉTRICAS BÁSICAS</t>
        </is>
      </c>
    </row>
    <row r="4" ht="48" customHeight="1">
      <c r="A4" s="4" t="inlineStr">
        <is>
          <t>Faces Harmonização Canoas</t>
        </is>
      </c>
      <c r="B4" s="5" t="inlineStr">
        <is>
          <t>Canoas</t>
        </is>
      </c>
      <c r="C4" s="5" t="inlineStr">
        <is>
          <t>Harmonização Facial</t>
        </is>
      </c>
      <c r="D4" s="6">
        <f>HYPERLINK("https://instagram.com/faces.harmonizacao","@faces.harmonizacao")</f>
        <v/>
      </c>
      <c r="E4" s="7" t="inlineStr"/>
      <c r="F4" s="5" t="inlineStr">
        <is>
          <t>Perfil com postagem irregular (gaps de +45 dias), fotos sem edição profissional e sem estratégia de conteúdo definida</t>
        </is>
      </c>
      <c r="G4" s="5" t="inlineStr">
        <is>
          <t>890 seguidores · 38 posts · irregular · baixa qualidade visual · sem identidade</t>
        </is>
      </c>
    </row>
    <row r="5" ht="48" customHeight="1">
      <c r="A5" s="8" t="inlineStr">
        <is>
          <t>OdontoMais Esteio</t>
        </is>
      </c>
      <c r="B5" s="9" t="inlineStr">
        <is>
          <t>Esteio</t>
        </is>
      </c>
      <c r="C5" s="9" t="inlineStr">
        <is>
          <t>Odontologia</t>
        </is>
      </c>
      <c r="D5" s="10">
        <f>HYPERLINK("https://instagram.com/odontomaisesteio","@odontomaisesteio")</f>
        <v/>
      </c>
      <c r="E5" s="11" t="inlineStr"/>
      <c r="F5" s="9" t="inlineStr">
        <is>
          <t>Clínica com menos de 50 posts no total, sem regularidade e conteúdo de baixíssima qualidade — precisa estruturar do zero</t>
        </is>
      </c>
      <c r="G5" s="9" t="inlineStr">
        <is>
          <t>420 seguidores · 28 posts · muito irregular · fotos sem edição · sem copy</t>
        </is>
      </c>
    </row>
    <row r="6" ht="48" customHeight="1">
      <c r="A6" s="4" t="inlineStr">
        <is>
          <t>Esteio Clínicas</t>
        </is>
      </c>
      <c r="B6" s="5" t="inlineStr">
        <is>
          <t>Esteio</t>
        </is>
      </c>
      <c r="C6" s="5" t="inlineStr">
        <is>
          <t>Saúde Multidisciplinar</t>
        </is>
      </c>
      <c r="D6" s="6">
        <f>HYPERLINK("https://instagram.com/esteioclinicas","@esteioclinicas")</f>
        <v/>
      </c>
      <c r="E6" s="6">
        <f>HYPERLINK("https://wa.me/5551993072803","(51) 99307-2803")</f>
        <v/>
      </c>
      <c r="F6" s="5" t="inlineStr">
        <is>
          <t>Gaps de mais de 60 dias entre posts, identidade visual inconsistente e ausência de estratégia editorial</t>
        </is>
      </c>
      <c r="G6" s="5" t="inlineStr">
        <is>
          <t>650 seguidores · 42 posts · irregular · sem padrão visual · copy ausente</t>
        </is>
      </c>
    </row>
    <row r="7" ht="48" customHeight="1">
      <c r="A7" s="8" t="inlineStr">
        <is>
          <t>Sorriso Cia São Leopoldo</t>
        </is>
      </c>
      <c r="B7" s="9" t="inlineStr">
        <is>
          <t>São Leopoldo</t>
        </is>
      </c>
      <c r="C7" s="9" t="inlineStr">
        <is>
          <t>Odontologia</t>
        </is>
      </c>
      <c r="D7" s="10">
        <f>HYPERLINK("https://instagram.com/sorriso.cia","@sorriso.cia")</f>
        <v/>
      </c>
      <c r="E7" s="11" t="inlineStr"/>
      <c r="F7" s="9" t="inlineStr">
        <is>
          <t>650 seguidores e apenas 31 posts para clínica existente há mais de 2 anos — presença digital quase inexistente</t>
        </is>
      </c>
      <c r="G7" s="9" t="inlineStr">
        <is>
          <t>650 seguidores · 31 posts · irregular · sem estratégia · conteúdo amador</t>
        </is>
      </c>
    </row>
    <row r="8" ht="48" customHeight="1">
      <c r="A8" s="4" t="inlineStr">
        <is>
          <t>OdontoPop São Leopoldo</t>
        </is>
      </c>
      <c r="B8" s="5" t="inlineStr">
        <is>
          <t>São Leopoldo</t>
        </is>
      </c>
      <c r="C8" s="5" t="inlineStr">
        <is>
          <t>Odontologia</t>
        </is>
      </c>
      <c r="D8" s="6">
        <f>HYPERLINK("https://instagram.com/odontopopsaoleo","@odontopopsaoleo")</f>
        <v/>
      </c>
      <c r="E8" s="7" t="inlineStr"/>
      <c r="F8" s="5" t="inlineStr">
        <is>
          <t>955 seguidores mas postagem completamente irregular — sem calendário, fotos de celular sem edição, copy inexistente</t>
        </is>
      </c>
      <c r="G8" s="5" t="inlineStr">
        <is>
          <t>955 seguidores · 55 posts · irregular · sem padrão · fotos amadoras</t>
        </is>
      </c>
    </row>
    <row r="9" ht="48" customHeight="1">
      <c r="A9" s="8" t="inlineStr">
        <is>
          <t>Clínica EndoSinos São Leopoldo</t>
        </is>
      </c>
      <c r="B9" s="9" t="inlineStr">
        <is>
          <t>São Leopoldo</t>
        </is>
      </c>
      <c r="C9" s="9" t="inlineStr">
        <is>
          <t>Odontologia</t>
        </is>
      </c>
      <c r="D9" s="10">
        <f>HYPERLINK("https://instagram.com/clinicaendosinos","@clinicaendosinos")</f>
        <v/>
      </c>
      <c r="E9" s="11" t="inlineStr"/>
      <c r="F9" s="9" t="inlineStr">
        <is>
          <t>Especialidade endodontia mas perfil com conteúdo esporádico e qualidade visual muito baixa — precisa de estruturação completa</t>
        </is>
      </c>
      <c r="G9" s="9" t="inlineStr">
        <is>
          <t>480 seguidores · 35 posts · esporádico · sem edição · sem identidade visual</t>
        </is>
      </c>
    </row>
    <row r="10" ht="48" customHeight="1">
      <c r="A10" s="4" t="inlineStr">
        <is>
          <t>Instituto da Face Novo Hamburgo</t>
        </is>
      </c>
      <c r="B10" s="5" t="inlineStr">
        <is>
          <t>Novo Hamburgo</t>
        </is>
      </c>
      <c r="C10" s="5" t="inlineStr">
        <is>
          <t>Harmonização Facial</t>
        </is>
      </c>
      <c r="D10" s="6">
        <f>HYPERLINK("https://instagram.com/institutodafacenovohamburgo","@institutodafacenovohamburgo")</f>
        <v/>
      </c>
      <c r="E10" s="7" t="inlineStr"/>
      <c r="F10" s="5" t="inlineStr">
        <is>
          <t>Instituto sem estratégia de conteúdo definida — posts aleatórios, sem frequência, e conteúdo sem diferenciação no nicho de harmonização</t>
        </is>
      </c>
      <c r="G10" s="5" t="inlineStr">
        <is>
          <t>730 seguidores · 44 posts · irregular · conteúdo genérico · sem posicionamento</t>
        </is>
      </c>
    </row>
    <row r="11" ht="48" customHeight="1">
      <c r="A11" s="8" t="inlineStr">
        <is>
          <t>NF Odonto Estética NH</t>
        </is>
      </c>
      <c r="B11" s="9" t="inlineStr">
        <is>
          <t>Novo Hamburgo</t>
        </is>
      </c>
      <c r="C11" s="9" t="inlineStr">
        <is>
          <t>Odontologia &amp; Estética</t>
        </is>
      </c>
      <c r="D11" s="10">
        <f>HYPERLINK("https://instagram.com/nf_odontoesteticaoficial","@nf_odontoesteticaoficial")</f>
        <v/>
      </c>
      <c r="E11" s="11" t="inlineStr"/>
      <c r="F11" s="9" t="inlineStr">
        <is>
          <t>Clínica dual (odonto+estética) com perfil estagnado — poucos posts, sem padrão e sem aproveitamento do potencial de conteúdo do nicho</t>
        </is>
      </c>
      <c r="G11" s="9" t="inlineStr">
        <is>
          <t>560 seguidores · 29 posts · esporádico · sem edição · dois nichos sem integração</t>
        </is>
      </c>
    </row>
    <row r="12" ht="48" customHeight="1">
      <c r="A12" s="4" t="inlineStr">
        <is>
          <t>Beleza Inn NH</t>
        </is>
      </c>
      <c r="B12" s="5" t="inlineStr">
        <is>
          <t>Novo Hamburgo</t>
        </is>
      </c>
      <c r="C12" s="5" t="inlineStr">
        <is>
          <t>Estética</t>
        </is>
      </c>
      <c r="D12" s="6">
        <f>HYPERLINK("https://instagram.com/beleza.inn","@beleza.inn")</f>
        <v/>
      </c>
      <c r="E12" s="7" t="inlineStr"/>
      <c r="F12" s="5" t="inlineStr">
        <is>
          <t>Studio estético com nome criativo mas conteúdo amador — fotos sem tratamento, copy ausente e postagem irregular</t>
        </is>
      </c>
      <c r="G12" s="5" t="inlineStr">
        <is>
          <t>610 seguidores · 33 posts · irregular · fotos de celular · sem copy</t>
        </is>
      </c>
    </row>
    <row r="13" ht="48" customHeight="1">
      <c r="A13" s="8" t="inlineStr">
        <is>
          <t>FisioMed NH</t>
        </is>
      </c>
      <c r="B13" s="9" t="inlineStr">
        <is>
          <t>Novo Hamburgo</t>
        </is>
      </c>
      <c r="C13" s="9" t="inlineStr">
        <is>
          <t>Fisioterapia</t>
        </is>
      </c>
      <c r="D13" s="10">
        <f>HYPERLINK("https://instagram.com/fisiomed.nh","@fisiomed.nh")</f>
        <v/>
      </c>
      <c r="E13" s="10">
        <f>HYPERLINK("tel:+555130665370","(51) 3066-5370")</f>
        <v/>
      </c>
      <c r="F13" s="9" t="inlineStr">
        <is>
          <t>Clínica com gaps de mais de 60 dias entre posts e conteúdo sem estratégia — presença digital não reflete o tempo de mercado</t>
        </is>
      </c>
      <c r="G13" s="9" t="inlineStr">
        <is>
          <t>820 seguidores · 47 posts · irregular · conteúdo desatualizado · sem padrão</t>
        </is>
      </c>
    </row>
    <row r="14" ht="48" customHeight="1">
      <c r="A14" s="4" t="inlineStr">
        <is>
          <t>Eleve Studio Cachoeirinha</t>
        </is>
      </c>
      <c r="B14" s="5" t="inlineStr">
        <is>
          <t>Cachoeirinha</t>
        </is>
      </c>
      <c r="C14" s="5" t="inlineStr">
        <is>
          <t>Pilates &amp; Estética</t>
        </is>
      </c>
      <c r="D14" s="6">
        <f>HYPERLINK("https://instagram.com/elevestudiooficial","@elevestudiooficial")</f>
        <v/>
      </c>
      <c r="E14" s="6">
        <f>HYPERLINK("https://wa.me/5551998487723","(51) 99848-7723")</f>
        <v/>
      </c>
      <c r="F14" s="5" t="inlineStr">
        <is>
          <t>Studio com postagem irregular (último post há mais de 45 dias) e conteúdo sem identidade — precisa estruturar antes de anunciar</t>
        </is>
      </c>
      <c r="G14" s="5" t="inlineStr">
        <is>
          <t>940 seguidores · 52 posts · irregular · baixa qualidade visual · sem estratégia</t>
        </is>
      </c>
    </row>
    <row r="15" ht="48" customHeight="1">
      <c r="A15" s="8" t="inlineStr">
        <is>
          <t>Fisioterapia e Pilates Salus</t>
        </is>
      </c>
      <c r="B15" s="9" t="inlineStr">
        <is>
          <t>Cachoeirinha</t>
        </is>
      </c>
      <c r="C15" s="9" t="inlineStr">
        <is>
          <t>Fisioterapia &amp; Pilates</t>
        </is>
      </c>
      <c r="D15" s="10">
        <f>HYPERLINK("https://instagram.com/fisioterapiaepilatessalus","@fisioterapiaepilatessalus")</f>
        <v/>
      </c>
      <c r="E15" s="11" t="inlineStr"/>
      <c r="F15" s="9" t="inlineStr">
        <is>
          <t>Perfil com apenas 40 posts para clínica estabelecida — ausência de estratégia editorial e conteúdo sem diferenciação</t>
        </is>
      </c>
      <c r="G15" s="9" t="inlineStr">
        <is>
          <t>530 seguidores · 40 posts · irregular · conteúdo básico · sem identidade</t>
        </is>
      </c>
    </row>
    <row r="16" ht="48" customHeight="1">
      <c r="A16" s="4" t="inlineStr">
        <is>
          <t>Bella Vita Studio Pilates</t>
        </is>
      </c>
      <c r="B16" s="5" t="inlineStr">
        <is>
          <t>Cachoeirinha</t>
        </is>
      </c>
      <c r="C16" s="5" t="inlineStr">
        <is>
          <t>Pilates</t>
        </is>
      </c>
      <c r="D16" s="6">
        <f>HYPERLINK("https://instagram.com/bellavitaestudiopilates","@bellavitaestudiopilates")</f>
        <v/>
      </c>
      <c r="E16" s="7" t="inlineStr"/>
      <c r="F16" s="5" t="inlineStr">
        <is>
          <t>Studio de pilates com nome premium mas conteúdo amador — fotos de celular, sem copy estratégico e postagem esporádica</t>
        </is>
      </c>
      <c r="G16" s="5" t="inlineStr">
        <is>
          <t>440 seguidores · 25 posts · esporádico · fotos sem edição · sem posicionamento</t>
        </is>
      </c>
    </row>
    <row r="17" ht="48" customHeight="1">
      <c r="A17" s="8" t="inlineStr">
        <is>
          <t>Studio Corpo em Movimento Cachoeirinha</t>
        </is>
      </c>
      <c r="B17" s="9" t="inlineStr">
        <is>
          <t>Cachoeirinha</t>
        </is>
      </c>
      <c r="C17" s="9" t="inlineStr">
        <is>
          <t>Pilates &amp; Bem-estar</t>
        </is>
      </c>
      <c r="D17" s="10">
        <f>HYPERLINK("https://instagram.com/studioo_corpoemmovimento","@studioo_corpoemmovimento")</f>
        <v/>
      </c>
      <c r="E17" s="11" t="inlineStr"/>
      <c r="F17" s="9" t="inlineStr">
        <is>
          <t>Studio com identidade visual inconsistente, gap de posts recorrente e sem estratégia de atração de alunos via digital</t>
        </is>
      </c>
      <c r="G17" s="9" t="inlineStr">
        <is>
          <t>570 seguidores · 38 posts · irregular · identidade confusa · copy ausente</t>
        </is>
      </c>
    </row>
    <row r="18" ht="48" customHeight="1">
      <c r="A18" s="4" t="inlineStr">
        <is>
          <t>Clínica Vinícius Vilas Viamão</t>
        </is>
      </c>
      <c r="B18" s="5" t="inlineStr">
        <is>
          <t>Viamão</t>
        </is>
      </c>
      <c r="C18" s="5" t="inlineStr">
        <is>
          <t>Odontologia</t>
        </is>
      </c>
      <c r="D18" s="6">
        <f>HYPERLINK("https://instagram.com/clinicaviniciusvilas","@clinicaviniciusvilas")</f>
        <v/>
      </c>
      <c r="E18" s="7" t="inlineStr"/>
      <c r="F18" s="5" t="inlineStr">
        <is>
          <t>Clínica com presença digital quase inexistente — menos de 30 posts no total e frequência mensal ou inferior</t>
        </is>
      </c>
      <c r="G18" s="5" t="inlineStr">
        <is>
          <t>390 seguidores · 22 posts · muito irregular · conteúdo amador · sem estratégia</t>
        </is>
      </c>
    </row>
    <row r="19" ht="48" customHeight="1">
      <c r="A19" s="8" t="inlineStr">
        <is>
          <t>Vitae Center Clínica Eldorado do Sul</t>
        </is>
      </c>
      <c r="B19" s="9" t="inlineStr">
        <is>
          <t>Eldorado do Sul</t>
        </is>
      </c>
      <c r="C19" s="9" t="inlineStr">
        <is>
          <t>Saúde &amp; Estética</t>
        </is>
      </c>
      <c r="D19" s="10">
        <f>HYPERLINK("https://instagram.com/vitaecenterclinica","@vitaecenterclinica")</f>
        <v/>
      </c>
      <c r="E19" s="11" t="inlineStr"/>
      <c r="F19" s="9" t="inlineStr">
        <is>
          <t>Clínica multidisciplinar com presença digital fraca — posts esporádicos sem padrão e ausência de estratégia de conteúdo</t>
        </is>
      </c>
      <c r="G19" s="9" t="inlineStr">
        <is>
          <t>620 seguidores · 35 posts · esporádico · fotos básicas · sem copy</t>
        </is>
      </c>
    </row>
    <row r="20" ht="48" customHeight="1">
      <c r="A20" s="4" t="inlineStr">
        <is>
          <t>Clínica OdontoTche Guaíba</t>
        </is>
      </c>
      <c r="B20" s="5" t="inlineStr">
        <is>
          <t>Guaíba</t>
        </is>
      </c>
      <c r="C20" s="5" t="inlineStr">
        <is>
          <t>Odontologia</t>
        </is>
      </c>
      <c r="D20" s="6">
        <f>HYPERLINK("https://instagram.com/clinicaodontotche","@clinicaodontotche")</f>
        <v/>
      </c>
      <c r="E20" s="7" t="inlineStr"/>
      <c r="F20" s="5" t="inlineStr">
        <is>
          <t>Presença digital iniciante — pouco conteúdo, sem padrão visual e frequência insuficiente para o nível de competição local</t>
        </is>
      </c>
      <c r="G20" s="5" t="inlineStr">
        <is>
          <t>480 seguidores · 30 posts · irregular · sem identidade · fotos sem edição</t>
        </is>
      </c>
    </row>
    <row r="21" ht="48" customHeight="1">
      <c r="A21" s="8" t="inlineStr">
        <is>
          <t>LJ Odontologia Guaíba</t>
        </is>
      </c>
      <c r="B21" s="9" t="inlineStr">
        <is>
          <t>Guaíba</t>
        </is>
      </c>
      <c r="C21" s="9" t="inlineStr">
        <is>
          <t>Odontologia</t>
        </is>
      </c>
      <c r="D21" s="10">
        <f>HYPERLINK("https://instagram.com/ljodontologia","@ljodontologia")</f>
        <v/>
      </c>
      <c r="E21" s="11" t="inlineStr"/>
      <c r="F21" s="9" t="inlineStr">
        <is>
          <t>Clínica odontológica com perfil estagnado — gaps de 60+ dias e conteúdo de baixa qualidade técnica e visual</t>
        </is>
      </c>
      <c r="G21" s="9" t="inlineStr">
        <is>
          <t>510 seguidores · 27 posts · esporádico · conteúdo amador · sem CTA</t>
        </is>
      </c>
    </row>
    <row r="22" ht="48" customHeight="1">
      <c r="A22" s="4" t="inlineStr">
        <is>
          <t>Reabilita Clínica Saúde Guaíba</t>
        </is>
      </c>
      <c r="B22" s="5" t="inlineStr">
        <is>
          <t>Guaíba</t>
        </is>
      </c>
      <c r="C22" s="5" t="inlineStr">
        <is>
          <t>Fisioterapia &amp; Reabilitação</t>
        </is>
      </c>
      <c r="D22" s="6">
        <f>HYPERLINK("https://instagram.com/reabilitaclinicasaude","@reabilitaclinicasaude")</f>
        <v/>
      </c>
      <c r="E22" s="7" t="inlineStr"/>
      <c r="F22" s="5" t="inlineStr">
        <is>
          <t>Clínica de reabilitação com conteúdo esporádico e sem estratégia editorial definida — presença digital não condiz com o porte</t>
        </is>
      </c>
      <c r="G22" s="5" t="inlineStr">
        <is>
          <t>590 seguidores · 34 posts · irregular · conteúdo básico · sem posicionamento</t>
        </is>
      </c>
    </row>
    <row r="23" ht="48" customHeight="1">
      <c r="A23" s="8" t="inlineStr">
        <is>
          <t>DermoEstetic Nova Santa Rita</t>
        </is>
      </c>
      <c r="B23" s="9" t="inlineStr">
        <is>
          <t>Nova Santa Rita</t>
        </is>
      </c>
      <c r="C23" s="9" t="inlineStr">
        <is>
          <t>Estética &amp; Harmonização</t>
        </is>
      </c>
      <c r="D23" s="10">
        <f>HYPERLINK("https://instagram.com/dermoestetic_src","@dermoestetic_src")</f>
        <v/>
      </c>
      <c r="E23" s="11" t="inlineStr"/>
      <c r="F23" s="9" t="inlineStr">
        <is>
          <t>1.780 seguidores com posts irregulares — conteúdo de média qualidade mas sem frequência consistente e sem estratégia de atração</t>
        </is>
      </c>
      <c r="G23" s="9" t="inlineStr">
        <is>
          <t>1,8k seguidores · 65 posts · irregular · qualidade ok · sem copy estratégico</t>
        </is>
      </c>
    </row>
    <row r="24" ht="48" customHeight="1">
      <c r="A24" s="4" t="inlineStr">
        <is>
          <t>Clínica OdontoFace Nova Santa Rita</t>
        </is>
      </c>
      <c r="B24" s="5" t="inlineStr">
        <is>
          <t>Nova Santa Rita</t>
        </is>
      </c>
      <c r="C24" s="5" t="inlineStr">
        <is>
          <t>Odontologia &amp; Harmonização</t>
        </is>
      </c>
      <c r="D24" s="6">
        <f>HYPERLINK("https://instagram.com/clinica.odontoface","@clinica.odontoface")</f>
        <v/>
      </c>
      <c r="E24" s="7" t="inlineStr"/>
      <c r="F24" s="5" t="inlineStr">
        <is>
          <t>Perfil com posts esporádicos e conteúdo sem edição profissional — presença digital inicial e sem estratégia editorial</t>
        </is>
      </c>
      <c r="G24" s="5" t="inlineStr">
        <is>
          <t>350 seguidores · 18 posts · esporádico · fotos amadoras · sem identidade</t>
        </is>
      </c>
    </row>
    <row r="25" ht="48" customHeight="1">
      <c r="A25" s="8" t="inlineStr">
        <is>
          <t>Sandental Santa Rita</t>
        </is>
      </c>
      <c r="B25" s="9" t="inlineStr">
        <is>
          <t>Nova Santa Rita</t>
        </is>
      </c>
      <c r="C25" s="9" t="inlineStr">
        <is>
          <t>Odontologia</t>
        </is>
      </c>
      <c r="D25" s="10">
        <f>HYPERLINK("https://instagram.com/sandentalsantarita","@sandentalsantarita")</f>
        <v/>
      </c>
      <c r="E25" s="11" t="inlineStr"/>
      <c r="F25" s="9" t="inlineStr">
        <is>
          <t>Clínica odontológica com presença digital embrionária — menos de 25 posts, sem frequência e conteúdo muito básico</t>
        </is>
      </c>
      <c r="G25" s="9" t="inlineStr">
        <is>
          <t>290 seguidores · 21 posts · muito irregular · posts básicos · sem copy</t>
        </is>
      </c>
    </row>
    <row r="26" ht="48" customHeight="1">
      <c r="A26" s="4" t="inlineStr">
        <is>
          <t>Zona Sul Pilates Porto Alegre</t>
        </is>
      </c>
      <c r="B26" s="5" t="inlineStr">
        <is>
          <t>Porto Alegre</t>
        </is>
      </c>
      <c r="C26" s="5" t="inlineStr">
        <is>
          <t>Pilates</t>
        </is>
      </c>
      <c r="D26" s="6">
        <f>HYPERLINK("https://instagram.com/zonasulpilates","@zonasulpilates")</f>
        <v/>
      </c>
      <c r="E26" s="7" t="inlineStr"/>
      <c r="F26" s="5" t="inlineStr">
        <is>
          <t>773 seguidores com postagem irregular (gaps de 45+ dias) e conteúdo básico — studio sem estratégia editorial definida</t>
        </is>
      </c>
      <c r="G26" s="5" t="inlineStr">
        <is>
          <t>773 seguidores · 48 posts · irregular · fotos de celular · copy simples</t>
        </is>
      </c>
    </row>
    <row r="27" ht="48" customHeight="1">
      <c r="A27" s="8" t="inlineStr">
        <is>
          <t>Studio Independência Porto Alegre</t>
        </is>
      </c>
      <c r="B27" s="9" t="inlineStr">
        <is>
          <t>Porto Alegre</t>
        </is>
      </c>
      <c r="C27" s="9" t="inlineStr">
        <is>
          <t>Pilates &amp; Saúde</t>
        </is>
      </c>
      <c r="D27" s="10">
        <f>HYPERLINK("https://instagram.com/studio.independencia","@studio.independencia")</f>
        <v/>
      </c>
      <c r="E27" s="11" t="inlineStr"/>
      <c r="F27" s="9" t="inlineStr">
        <is>
          <t>323 seguidores com conteúdo muito irregular — studio em bairro populoso mas presença digital quase inexistente</t>
        </is>
      </c>
      <c r="G27" s="9" t="inlineStr">
        <is>
          <t>323 seguidores · 35 posts · muito irregular · conteúdo básico · sem estratégia</t>
        </is>
      </c>
    </row>
    <row r="28" ht="48" customHeight="1">
      <c r="A28" s="4" t="inlineStr">
        <is>
          <t>Agir Fisioterapia Porto Alegre</t>
        </is>
      </c>
      <c r="B28" s="5" t="inlineStr">
        <is>
          <t>Porto Alegre</t>
        </is>
      </c>
      <c r="C28" s="5" t="inlineStr">
        <is>
          <t>Fisioterapia</t>
        </is>
      </c>
      <c r="D28" s="6">
        <f>HYPERLINK("https://instagram.com/agirfisioterapia","@agirfisioterapia")</f>
        <v/>
      </c>
      <c r="E28" s="7" t="inlineStr"/>
      <c r="F28" s="5" t="inlineStr">
        <is>
          <t>948 seguidores com conteúdo esporádico e baixa qualidade visual — clínica estabelecida mas com digital negligenciado</t>
        </is>
      </c>
      <c r="G28" s="5" t="inlineStr">
        <is>
          <t>948 seguidores · 55 posts · irregular · fotos sem edição · copy ausente</t>
        </is>
      </c>
    </row>
    <row r="29" ht="48" customHeight="1">
      <c r="A29" s="8" t="inlineStr">
        <is>
          <t>Equilíbrio Studio de Pilates POA</t>
        </is>
      </c>
      <c r="B29" s="9" t="inlineStr">
        <is>
          <t>Porto Alegre</t>
        </is>
      </c>
      <c r="C29" s="9" t="inlineStr">
        <is>
          <t>Pilates</t>
        </is>
      </c>
      <c r="D29" s="10">
        <f>HYPERLINK("https://instagram.com/equilibriostudiodepilatespoa","@equilibriostudiodepilatespoa")</f>
        <v/>
      </c>
      <c r="E29" s="11" t="inlineStr"/>
      <c r="F29" s="9" t="inlineStr">
        <is>
          <t>558 seguidores com identidade visual inconsistente e conteúdo esporádico — precisa estruturar posicionamento antes de anunciar</t>
        </is>
      </c>
      <c r="G29" s="9" t="inlineStr">
        <is>
          <t>558 seguidores · 30 posts · irregular · identidade confusa · sem estratégia</t>
        </is>
      </c>
    </row>
    <row r="30" ht="48" customHeight="1">
      <c r="A30" s="4" t="inlineStr">
        <is>
          <t>ISP Saúde Porto Alegre</t>
        </is>
      </c>
      <c r="B30" s="5" t="inlineStr">
        <is>
          <t>Porto Alegre</t>
        </is>
      </c>
      <c r="C30" s="5" t="inlineStr">
        <is>
          <t>Fisioterapia &amp; Pilates</t>
        </is>
      </c>
      <c r="D30" s="6">
        <f>HYPERLINK("https://instagram.com/ispsaudeportoalegre","@ispsaudeportoalegre")</f>
        <v/>
      </c>
      <c r="E30" s="7" t="inlineStr"/>
      <c r="F30" s="5" t="inlineStr">
        <is>
          <t>Clínica multidisciplinar com pouca frequência de posts e conteúdo sem diferenciação — presença digital aquém do potencial</t>
        </is>
      </c>
      <c r="G30" s="5" t="inlineStr">
        <is>
          <t>670 seguidores · 40 posts · esporádico · conteúdo genérico · sem posicionamento</t>
        </is>
      </c>
    </row>
    <row r="31" ht="48" customHeight="1">
      <c r="A31" s="8" t="inlineStr">
        <is>
          <t>Cris Murari Pilates Porto Alegre</t>
        </is>
      </c>
      <c r="B31" s="9" t="inlineStr">
        <is>
          <t>Porto Alegre</t>
        </is>
      </c>
      <c r="C31" s="9" t="inlineStr">
        <is>
          <t>Pilates</t>
        </is>
      </c>
      <c r="D31" s="10">
        <f>HYPERLINK("https://instagram.com/crismuraripilates","@crismuraripilates")</f>
        <v/>
      </c>
      <c r="E31" s="11" t="inlineStr"/>
      <c r="F31" s="9" t="inlineStr">
        <is>
          <t>Studio de instrutora com autoridade técnica mas posts esporádicos e sem estratégia de conteúdo para atrair alunos novos</t>
        </is>
      </c>
      <c r="G31" s="9" t="inlineStr">
        <is>
          <t>840 seguidores · 45 posts · irregular · bom conteúdo técnico · frequência baixa</t>
        </is>
      </c>
    </row>
    <row r="32" ht="48" customHeight="1">
      <c r="A32" s="4" t="inlineStr">
        <is>
          <t>Reabilitare Fisioterapia Sapucaia</t>
        </is>
      </c>
      <c r="B32" s="5" t="inlineStr">
        <is>
          <t>Sapucaia do Sul</t>
        </is>
      </c>
      <c r="C32" s="5" t="inlineStr">
        <is>
          <t>Fisioterapia &amp; Reabilitação</t>
        </is>
      </c>
      <c r="D32" s="6">
        <f>HYPERLINK("https://instagram.com/reabilitare_fisioterapia_","@reabilitare_fisioterapia_")</f>
        <v/>
      </c>
      <c r="E32" s="7" t="inlineStr"/>
      <c r="F32" s="5" t="inlineStr">
        <is>
          <t>Clínica de reabilitação com conteúdo básico e irregular — presença digital inicial que não transmite autoridade da especialidade</t>
        </is>
      </c>
      <c r="G32" s="5" t="inlineStr">
        <is>
          <t>490 seguidores · 32 posts · irregular · conteúdo básico · sem identidade visual</t>
        </is>
      </c>
    </row>
    <row r="33" ht="48" customHeight="1">
      <c r="A33" s="8" t="inlineStr">
        <is>
          <t>Siga House Gym NH</t>
        </is>
      </c>
      <c r="B33" s="9" t="inlineStr">
        <is>
          <t>Novo Hamburgo</t>
        </is>
      </c>
      <c r="C33" s="9" t="inlineStr">
        <is>
          <t>Fitness &amp; Saúde</t>
        </is>
      </c>
      <c r="D33" s="10">
        <f>HYPERLINK("https://instagram.com/sigahousegym","@sigahousegym")</f>
        <v/>
      </c>
      <c r="E33" s="11" t="inlineStr"/>
      <c r="F33" s="9" t="inlineStr">
        <is>
          <t>Academia sem estratégia de conteúdo definida — posts misturados sem padrão editorial e frequência abaixo do necessário para o segmento</t>
        </is>
      </c>
      <c r="G33" s="9" t="inlineStr">
        <is>
          <t>710 seguidores · 42 posts · irregular · conteúdo misturado · sem identidade</t>
        </is>
      </c>
    </row>
    <row r="34" ht="48" customHeight="1">
      <c r="A34" s="4" t="inlineStr">
        <is>
          <t>BemMais Academia NH</t>
        </is>
      </c>
      <c r="B34" s="5" t="inlineStr">
        <is>
          <t>Novo Hamburgo</t>
        </is>
      </c>
      <c r="C34" s="5" t="inlineStr">
        <is>
          <t>Fitness &amp; Saúde</t>
        </is>
      </c>
      <c r="D34" s="6">
        <f>HYPERLINK("https://instagram.com/bemmais.academia","@bemmais.academia")</f>
        <v/>
      </c>
      <c r="E34" s="7" t="inlineStr"/>
      <c r="F34" s="5" t="inlineStr">
        <is>
          <t>Academia com gaps de posts recorrentes e conteúdo sem padrão — precisa estruturar editorial antes de investir em tráfego</t>
        </is>
      </c>
      <c r="G34" s="5" t="inlineStr">
        <is>
          <t>580 seguidores · 28 posts · irregular · posts básicos · sem copy</t>
        </is>
      </c>
    </row>
    <row r="35" ht="48" customHeight="1">
      <c r="A35" s="8" t="inlineStr">
        <is>
          <t>LD Movimento Cachoeirinha</t>
        </is>
      </c>
      <c r="B35" s="9" t="inlineStr">
        <is>
          <t>Cachoeirinha</t>
        </is>
      </c>
      <c r="C35" s="9" t="inlineStr">
        <is>
          <t>Pilates &amp; Movimento</t>
        </is>
      </c>
      <c r="D35" s="10">
        <f>HYPERLINK("https://instagram.com/ldmovimento","@ldmovimento")</f>
        <v/>
      </c>
      <c r="E35" s="11" t="inlineStr"/>
      <c r="F35" s="9" t="inlineStr">
        <is>
          <t>Studio com conteúdo esporádico e sem identidade visual definida — precisa de estruturação editorial completa para atrair alunos</t>
        </is>
      </c>
      <c r="G35" s="9" t="inlineStr">
        <is>
          <t>410 seguidores · 24 posts · esporádico · sem padrão visual · copy ausente</t>
        </is>
      </c>
    </row>
    <row r="36" ht="48" customHeight="1">
      <c r="A36" s="4" t="inlineStr">
        <is>
          <t>Alinhe-se Guaíba</t>
        </is>
      </c>
      <c r="B36" s="5" t="inlineStr">
        <is>
          <t>Guaíba</t>
        </is>
      </c>
      <c r="C36" s="5" t="inlineStr">
        <is>
          <t>Pilates &amp; Bem-estar</t>
        </is>
      </c>
      <c r="D36" s="6">
        <f>HYPERLINK("https://instagram.com/alinhe.se","@alinhe.se")</f>
        <v/>
      </c>
      <c r="E36" s="7" t="inlineStr"/>
      <c r="F36" s="5" t="inlineStr">
        <is>
          <t>Studio com posts esporádicos e conteúdo de qualidade muito baixa — precisa de estruturação completa de conteúdo e identidade</t>
        </is>
      </c>
      <c r="G36" s="5" t="inlineStr">
        <is>
          <t>330 seguidores · 19 posts · muito irregular · fotos amadoras · sem estratégia</t>
        </is>
      </c>
    </row>
    <row r="37" ht="48" customHeight="1">
      <c r="A37" s="8" t="inlineStr">
        <is>
          <t>Grupo Cawe Guaíba</t>
        </is>
      </c>
      <c r="B37" s="9" t="inlineStr">
        <is>
          <t>Guaíba</t>
        </is>
      </c>
      <c r="C37" s="9" t="inlineStr">
        <is>
          <t>Saúde &amp; Fisioterapia</t>
        </is>
      </c>
      <c r="D37" s="10">
        <f>HYPERLINK("https://instagram.com/grupocawe","@grupocawe")</f>
        <v/>
      </c>
      <c r="E37" s="11" t="inlineStr"/>
      <c r="F37" s="9" t="inlineStr">
        <is>
          <t>Grupo de saúde com presença digital confusa e irregular — identidade fragmentada e sem editorial, precisa de estruturação</t>
        </is>
      </c>
      <c r="G37" s="9" t="inlineStr">
        <is>
          <t>520 seguidores · 36 posts · irregular · identidade confusa · sem copy</t>
        </is>
      </c>
    </row>
    <row r="38" ht="48" customHeight="1">
      <c r="A38" s="4" t="inlineStr">
        <is>
          <t>DS Clínica Orofacial Eldorado do Sul</t>
        </is>
      </c>
      <c r="B38" s="5" t="inlineStr">
        <is>
          <t>Eldorado do Sul</t>
        </is>
      </c>
      <c r="C38" s="5" t="inlineStr">
        <is>
          <t>Odontologia</t>
        </is>
      </c>
      <c r="D38" s="6">
        <f>HYPERLINK("https://instagram.com/dsclinicaorofacial","@dsclinicaorofacial")</f>
        <v/>
      </c>
      <c r="E38" s="7" t="inlineStr"/>
      <c r="F38" s="5" t="inlineStr">
        <is>
          <t>Clínica especializada em orofacial mas com conteúdo amador e irregular — especialidade de alto valor sem estratégia digital</t>
        </is>
      </c>
      <c r="G38" s="5" t="inlineStr">
        <is>
          <t>450 seguidores · 26 posts · irregular · fotos de celular · sem posicionamento</t>
        </is>
      </c>
    </row>
    <row r="39" ht="48" customHeight="1">
      <c r="A39" s="8" t="inlineStr">
        <is>
          <t>Pilates Bruna Andrade Sapucaia</t>
        </is>
      </c>
      <c r="B39" s="9" t="inlineStr">
        <is>
          <t>Sapucaia do Sul</t>
        </is>
      </c>
      <c r="C39" s="9" t="inlineStr">
        <is>
          <t>Pilates</t>
        </is>
      </c>
      <c r="D39" s="10">
        <f>HYPERLINK("https://instagram.com/pilates_brunaandrade","@pilates_brunaandrade")</f>
        <v/>
      </c>
      <c r="E39" s="11" t="inlineStr"/>
      <c r="F39" s="9" t="inlineStr">
        <is>
          <t>Instrutora com conteúdo esporádico e sem posicionamento — posts misturados sem estratégia editorial ou de captação de alunos</t>
        </is>
      </c>
      <c r="G39" s="9" t="inlineStr">
        <is>
          <t>380 seguidores · 22 posts · esporádico · conteúdo pessoal misturado · sem CTA</t>
        </is>
      </c>
    </row>
    <row r="40" ht="48" customHeight="1">
      <c r="A40" s="4" t="inlineStr">
        <is>
          <t>Studio Eleve Pilates Porto Alegre</t>
        </is>
      </c>
      <c r="B40" s="5" t="inlineStr">
        <is>
          <t>Porto Alegre</t>
        </is>
      </c>
      <c r="C40" s="5" t="inlineStr">
        <is>
          <t>Pilates</t>
        </is>
      </c>
      <c r="D40" s="6">
        <f>HYPERLINK("https://instagram.com/studio.eleve.pilates","@studio.eleve.pilates")</f>
        <v/>
      </c>
      <c r="E40" s="7" t="inlineStr"/>
      <c r="F40" s="5" t="inlineStr">
        <is>
          <t>Studio com nome premium mas conteúdo sem estratégia — posts irregulares, sem identidade visual definida e ausência de copy</t>
        </is>
      </c>
      <c r="G40" s="5" t="inlineStr">
        <is>
          <t>460 seguidores · 28 posts · irregular · sem padrão visual · copy ausente</t>
        </is>
      </c>
    </row>
    <row r="41" ht="48" customHeight="1">
      <c r="A41" s="8" t="inlineStr">
        <is>
          <t>Clínica Maroni São Leopoldo</t>
        </is>
      </c>
      <c r="B41" s="9" t="inlineStr">
        <is>
          <t>São Leopoldo</t>
        </is>
      </c>
      <c r="C41" s="9" t="inlineStr">
        <is>
          <t>Odontologia &amp; Estética</t>
        </is>
      </c>
      <c r="D41" s="10">
        <f>HYPERLINK("https://instagram.com/clinicamaroni","@clinicamaroni")</f>
        <v/>
      </c>
      <c r="E41" s="11" t="inlineStr"/>
      <c r="F41" s="9" t="inlineStr">
        <is>
          <t>Clínica com presença digital aquém do potencial — posts básicos e irregulares, sem estratégia de posicionamento no nicho</t>
        </is>
      </c>
      <c r="G41" s="9" t="inlineStr">
        <is>
          <t>540 seguidores · 33 posts · irregular · conteúdo básico · sem identidade</t>
        </is>
      </c>
    </row>
    <row r="42" ht="48" customHeight="1">
      <c r="A42" s="4" t="inlineStr">
        <is>
          <t>Clínica Vaccari Viamão</t>
        </is>
      </c>
      <c r="B42" s="5" t="inlineStr">
        <is>
          <t>Viamão</t>
        </is>
      </c>
      <c r="C42" s="5" t="inlineStr">
        <is>
          <t>Odontologia</t>
        </is>
      </c>
      <c r="D42" s="6">
        <f>HYPERLINK("https://instagram.com/clinicavaccari","@clinicavaccari")</f>
        <v/>
      </c>
      <c r="E42" s="7" t="inlineStr"/>
      <c r="F42" s="5" t="inlineStr">
        <is>
          <t>Clínica familiar com digital negligenciado — frequência muito baixa, fotos sem tratamento e sem estratégia de atração de pacientes</t>
        </is>
      </c>
      <c r="G42" s="5" t="inlineStr">
        <is>
          <t>310 seguidores · 20 posts · muito irregular · fotos de celular · sem copy</t>
        </is>
      </c>
    </row>
    <row r="43" ht="48" customHeight="1">
      <c r="A43" s="8" t="inlineStr">
        <is>
          <t>Centro de Saúde e Bem-Estar Nova Santa Rita</t>
        </is>
      </c>
      <c r="B43" s="9" t="inlineStr">
        <is>
          <t>Nova Santa Rita</t>
        </is>
      </c>
      <c r="C43" s="9" t="inlineStr">
        <is>
          <t>Saúde Multidisciplinar</t>
        </is>
      </c>
      <c r="D43" s="10">
        <f>HYPERLINK("https://instagram.com/centrodesaudebemestar","@centrodesaudebemestar")</f>
        <v/>
      </c>
      <c r="E43" s="11" t="inlineStr"/>
      <c r="F43" s="9" t="inlineStr">
        <is>
          <t>Centro multidisciplinar com presença digital desorganizada — conteúdo esporádico sem identidade e sem estratégia de captação</t>
        </is>
      </c>
      <c r="G43" s="9" t="inlineStr">
        <is>
          <t>410 seguidores · 25 posts · esporádico · identidade confusa · sem editorial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2026-04-12T18:59:09Z</dcterms:created>
  <dcterms:modified xmlns:dcterms="http://purl.org/dc/terms/" xmlns:xsi="http://www.w3.org/2001/XMLSchema-instance" xsi:type="dcterms:W3CDTF">2026-04-12T18:59:09Z</dcterms:modified>
</cp:coreProperties>
</file>