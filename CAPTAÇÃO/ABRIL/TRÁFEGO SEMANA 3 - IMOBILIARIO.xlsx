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Ó TRÁFEG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A1A2E"/>
      <sz val="13"/>
    </font>
    <font>
      <name val="Arial"/>
      <i val="1"/>
      <color rgb="00555555"/>
      <sz val="10"/>
    </font>
    <font>
      <name val="Arial"/>
      <b val="1"/>
      <color rgb="00FFFFFF"/>
      <sz val="11"/>
    </font>
    <font>
      <name val="Arial"/>
      <b val="1"/>
      <sz val="10"/>
    </font>
    <font>
      <name val="Arial"/>
      <color rgb="00000000"/>
      <sz val="10"/>
    </font>
    <font>
      <name val="Arial"/>
      <color rgb="001155CC"/>
      <sz val="10"/>
      <u val="single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E8F0FE"/>
      </patternFill>
    </fill>
    <fill>
      <patternFill patternType="solid">
        <fgColor rgb="001A1A2E"/>
      </patternFill>
    </fill>
    <fill>
      <patternFill patternType="solid">
        <fgColor rgb="00F0F4FF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0" fontId="6" fillId="4" borderId="1" applyAlignment="1" pivotButton="0" quotePrefix="0" xfId="0">
      <alignment vertical="center" wrapText="1"/>
    </xf>
    <xf numFmtId="0" fontId="7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  <xf numFmtId="0" fontId="6" fillId="5" borderId="1" applyAlignment="1" pivotButton="0" quotePrefix="0" xfId="0">
      <alignment vertical="center" wrapText="1"/>
    </xf>
    <xf numFmtId="0" fontId="7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8" customWidth="1" min="3" max="3"/>
    <col width="30" customWidth="1" min="4" max="4"/>
    <col width="24" customWidth="1" min="5" max="5"/>
    <col width="42" customWidth="1" min="6" max="6"/>
    <col width="36" customWidth="1" min="7" max="7"/>
  </cols>
  <sheetData>
    <row r="1" ht="30" customHeight="1">
      <c r="A1" s="1" t="inlineStr">
        <is>
          <t>🎯 LEADS — SÓ TRÁFEGO PAGO | IMOBILIÁRIAS &amp; CORRETORES DE IMÓVEIS | Semana 3 — ABRIL</t>
        </is>
      </c>
    </row>
    <row r="2" ht="18" customHeight="1">
      <c r="A2" s="2" t="inlineStr">
        <is>
          <t>Total de leads: 40</t>
        </is>
      </c>
    </row>
    <row r="3" ht="32" customHeight="1">
      <c r="A3" s="3" t="inlineStr">
        <is>
          <t>NOME</t>
        </is>
      </c>
      <c r="B3" s="3" t="inlineStr">
        <is>
          <t>CIDADE</t>
        </is>
      </c>
      <c r="C3" s="3" t="inlineStr">
        <is>
          <t>NICHO</t>
        </is>
      </c>
      <c r="D3" s="3" t="inlineStr">
        <is>
          <t>INSTAGRAM</t>
        </is>
      </c>
      <c r="E3" s="3" t="inlineStr">
        <is>
          <t>TELEFONE / WHATSAPP</t>
        </is>
      </c>
      <c r="F3" s="3" t="inlineStr">
        <is>
          <t>PRINCIPAL PROBLEMA</t>
        </is>
      </c>
      <c r="G3" s="3" t="inlineStr">
        <is>
          <t>MÉTRICAS BÁSICAS</t>
        </is>
      </c>
    </row>
    <row r="4" ht="48" customHeight="1">
      <c r="A4" s="4" t="inlineStr">
        <is>
          <t>Ágora Cia Imobiliária</t>
        </is>
      </c>
      <c r="B4" s="5" t="inlineStr">
        <is>
          <t>Canoas</t>
        </is>
      </c>
      <c r="C4" s="5" t="inlineStr">
        <is>
          <t>Imobiliária - Vendas</t>
        </is>
      </c>
      <c r="D4" s="6">
        <f>HYPERLINK("https://instagram.com/agoraciaimobiliaria","@agoraciaimobiliaria")</f>
        <v/>
      </c>
      <c r="E4" s="7" t="inlineStr"/>
      <c r="F4" s="5" t="inlineStr">
        <is>
          <t>12k seguidores com conteúdo ativo e de boa qualidade — crescimento orgânico estagnado, tráfego pago Meta para ampliar alcance e gerar leads qualificados de compradores</t>
        </is>
      </c>
      <c r="G4" s="5" t="inlineStr">
        <is>
          <t>12k seguidores · 520 posts · 3x/semana · carrosséis de imóveis · stories ativos</t>
        </is>
      </c>
    </row>
    <row r="5" ht="48" customHeight="1">
      <c r="A5" s="8" t="inlineStr">
        <is>
          <t>Imobiliária Segura</t>
        </is>
      </c>
      <c r="B5" s="9" t="inlineStr">
        <is>
          <t>Canoas</t>
        </is>
      </c>
      <c r="C5" s="9" t="inlineStr">
        <is>
          <t>Imobiliária - Aluguel e Venda</t>
        </is>
      </c>
      <c r="D5" s="10">
        <f>HYPERLINK("https://instagram.com/imobiliariasegura","@imobiliariasegura")</f>
        <v/>
      </c>
      <c r="E5" s="11" t="inlineStr"/>
      <c r="F5" s="9" t="inlineStr">
        <is>
          <t>4.377 seguidores e 53 anos de mercado com conteúdo regular — autoridade enorme mas alcance digital não condiz com o porte histórico da empresa</t>
        </is>
      </c>
      <c r="G5" s="9" t="inlineStr">
        <is>
          <t>4,4k seguidores · 380 posts · 2x/semana · boa identidade visual · copy presente</t>
        </is>
      </c>
    </row>
    <row r="6" ht="48" customHeight="1">
      <c r="A6" s="4" t="inlineStr">
        <is>
          <t>Prime Class Imobiliária</t>
        </is>
      </c>
      <c r="B6" s="5" t="inlineStr">
        <is>
          <t>Canoas</t>
        </is>
      </c>
      <c r="C6" s="5" t="inlineStr">
        <is>
          <t>Imobiliária - Vendas Premium</t>
        </is>
      </c>
      <c r="D6" s="6">
        <f>HYPERLINK("https://instagram.com/primeclassimobiliaria","@primeclassimobiliaria")</f>
        <v/>
      </c>
      <c r="E6" s="7" t="inlineStr"/>
      <c r="F6" s="5" t="inlineStr">
        <is>
          <t>7.800 seguidores com posicionamento premium e conteúdo de qualidade — sem investimento em tráfego pago, perdendo oportunidades no segmento de alto padrão local</t>
        </is>
      </c>
      <c r="G6" s="5" t="inlineStr">
        <is>
          <t>7,8k seguidores · 440 posts · 3x/semana · fotos profissionais · identidade clara</t>
        </is>
      </c>
    </row>
    <row r="7" ht="48" customHeight="1">
      <c r="A7" s="8" t="inlineStr">
        <is>
          <t>Imobiliária Muck Canoas</t>
        </is>
      </c>
      <c r="B7" s="9" t="inlineStr">
        <is>
          <t>Canoas</t>
        </is>
      </c>
      <c r="C7" s="9" t="inlineStr">
        <is>
          <t>Imobiliária - Aluguel, Venda e Condomínio</t>
        </is>
      </c>
      <c r="D7" s="10">
        <f>HYPERLINK("https://instagram.com/imobiliariamuck","@imobiliariamuck")</f>
        <v/>
      </c>
      <c r="E7" s="11" t="inlineStr"/>
      <c r="F7" s="9" t="inlineStr">
        <is>
          <t>A mais lembrada pelos canoenses com 4.224 seguidores e conteúdo sólido — sem tráfego pago para escalar captação de leads e reconhecimento regional</t>
        </is>
      </c>
      <c r="G7" s="9" t="inlineStr">
        <is>
          <t>4,2k seguidores · 350 posts · 2x/semana · fotos de imóveis · stories regulares</t>
        </is>
      </c>
    </row>
    <row r="8" ht="48" customHeight="1">
      <c r="A8" s="4" t="inlineStr">
        <is>
          <t>Eliandro Azevedo Corretor</t>
        </is>
      </c>
      <c r="B8" s="5" t="inlineStr">
        <is>
          <t>Canoas</t>
        </is>
      </c>
      <c r="C8" s="5" t="inlineStr">
        <is>
          <t>Corretor Individual - Vendas</t>
        </is>
      </c>
      <c r="D8" s="6">
        <f>HYPERLINK("https://instagram.com/eliandro.corretor.de.imoveis","@eliandro.corretor.de.imoveis")</f>
        <v/>
      </c>
      <c r="E8" s="7" t="inlineStr"/>
      <c r="F8" s="5" t="inlineStr">
        <is>
          <t>3.326 seguidores como corretor autônomo com conteúdo ativo e de qualidade — presença digital razoável mas sem tráfego pago para gerar leads de forma consistente</t>
        </is>
      </c>
      <c r="G8" s="5" t="inlineStr">
        <is>
          <t>3,3k seguidores · 290 posts · 2x/semana · conteúdo de dicas imobiliárias · reels</t>
        </is>
      </c>
    </row>
    <row r="9" ht="48" customHeight="1">
      <c r="A9" s="8" t="inlineStr">
        <is>
          <t>Rodrigues Negócios Imobiliários</t>
        </is>
      </c>
      <c r="B9" s="9" t="inlineStr">
        <is>
          <t>São Leopoldo</t>
        </is>
      </c>
      <c r="C9" s="9" t="inlineStr">
        <is>
          <t>Imobiliária - Vendas e Locação</t>
        </is>
      </c>
      <c r="D9" s="10">
        <f>HYPERLINK("https://instagram.com/rodrigues.imb.br","@rodrigues.imb.br")</f>
        <v/>
      </c>
      <c r="E9" s="11" t="inlineStr"/>
      <c r="F9" s="9" t="inlineStr">
        <is>
          <t>6.273 seguidores com conteúdo de qualidade abrangendo São Leopoldo e Portão — crescimento orgânico não sustenta a demanda de geração de leads, precisa de tráfego pago</t>
        </is>
      </c>
      <c r="G9" s="9" t="inlineStr">
        <is>
          <t>6,3k seguidores · 410 posts · 3x/semana · carrosséis de imóveis · bom engajamento</t>
        </is>
      </c>
    </row>
    <row r="10" ht="48" customHeight="1">
      <c r="A10" s="4" t="inlineStr">
        <is>
          <t>Strack Imóveis São Leopoldo</t>
        </is>
      </c>
      <c r="B10" s="5" t="inlineStr">
        <is>
          <t>São Leopoldo</t>
        </is>
      </c>
      <c r="C10" s="5" t="inlineStr">
        <is>
          <t>Imobiliária - Vendas e Locação</t>
        </is>
      </c>
      <c r="D10" s="6">
        <f>HYPERLINK("https://instagram.com/strackimobiliaria","@strackimobiliaria")</f>
        <v/>
      </c>
      <c r="E10" s="7" t="inlineStr"/>
      <c r="F10" s="5" t="inlineStr">
        <is>
          <t>3.984 seguidores e 17 anos de mercado com conteúdo consistente — base sólida de audiência mas sem tráfego pago para escalar captação de novos clientes</t>
        </is>
      </c>
      <c r="G10" s="5" t="inlineStr">
        <is>
          <t>3,9k seguidores · 370 posts · 2x/semana · fotos profissionais · identidade definida</t>
        </is>
      </c>
    </row>
    <row r="11" ht="48" customHeight="1">
      <c r="A11" s="8" t="inlineStr">
        <is>
          <t>Innovar Imobiliária São Leopoldo</t>
        </is>
      </c>
      <c r="B11" s="9" t="inlineStr">
        <is>
          <t>São Leopoldo</t>
        </is>
      </c>
      <c r="C11" s="9" t="inlineStr">
        <is>
          <t>Imobiliária - Vendas</t>
        </is>
      </c>
      <c r="D11" s="10">
        <f>HYPERLINK("https://instagram.com/innovar.imb","@innovar.imb")</f>
        <v/>
      </c>
      <c r="E11" s="11" t="inlineStr"/>
      <c r="F11" s="9" t="inlineStr">
        <is>
          <t>4.116 seguidores com conteúdo de imóveis selecionados na região metropolitana — bom posicionamento mas tráfego pago necessário para alcançar compradores fora da base atual</t>
        </is>
      </c>
      <c r="G11" s="9" t="inlineStr">
        <is>
          <t>4,1k seguidores · 320 posts · 2-3x/semana · imóveis selecionados · boa apresentação</t>
        </is>
      </c>
    </row>
    <row r="12" ht="48" customHeight="1">
      <c r="A12" s="4" t="inlineStr">
        <is>
          <t>Casa Nova Imóveis - Elen</t>
        </is>
      </c>
      <c r="B12" s="5" t="inlineStr">
        <is>
          <t>São Leopoldo</t>
        </is>
      </c>
      <c r="C12" s="5" t="inlineStr">
        <is>
          <t>Corretor Individual - SL e NH</t>
        </is>
      </c>
      <c r="D12" s="6">
        <f>HYPERLINK("https://instagram.com/elen.casanova","@elen.casanova")</f>
        <v/>
      </c>
      <c r="E12" s="7" t="inlineStr"/>
      <c r="F12" s="5" t="inlineStr">
        <is>
          <t>4.831 seguidores abrangendo São Leopoldo e NH com conteúdo ativo — corretora com audiência relevante mas sem tráfego pago estruturado para maximizar conversões</t>
        </is>
      </c>
      <c r="G12" s="5" t="inlineStr">
        <is>
          <t>4,8k seguidores · 480 posts · 3x/semana · variado · presença em 2 cidades</t>
        </is>
      </c>
    </row>
    <row r="13" ht="48" customHeight="1">
      <c r="A13" s="8" t="inlineStr">
        <is>
          <t>Carlos Fleck Corretor</t>
        </is>
      </c>
      <c r="B13" s="9" t="inlineStr">
        <is>
          <t>São Leopoldo</t>
        </is>
      </c>
      <c r="C13" s="9" t="inlineStr">
        <is>
          <t>Corretor Individual</t>
        </is>
      </c>
      <c r="D13" s="10">
        <f>HYPERLINK("https://instagram.com/carlosfleckcorretor","@carlosfleckcorretor")</f>
        <v/>
      </c>
      <c r="E13" s="11" t="inlineStr"/>
      <c r="F13" s="9" t="inlineStr">
        <is>
          <t>Corretor com conteúdo ativo e boa presença digital em São Leopoldo — sem tráfego pago, captação de leads 100% orgânica e indicação</t>
        </is>
      </c>
      <c r="G13" s="9" t="inlineStr">
        <is>
          <t>2,1k seguidores · 240 posts · 2x/semana · dicas de compra · fotos de imóveis</t>
        </is>
      </c>
    </row>
    <row r="14" ht="48" customHeight="1">
      <c r="A14" s="4" t="inlineStr">
        <is>
          <t>Tudo Imobiliária Novo Hamburgo</t>
        </is>
      </c>
      <c r="B14" s="5" t="inlineStr">
        <is>
          <t>Novo Hamburgo</t>
        </is>
      </c>
      <c r="C14" s="5" t="inlineStr">
        <is>
          <t>Imobiliária - Aluguel e Venda</t>
        </is>
      </c>
      <c r="D14" s="6">
        <f>HYPERLINK("https://instagram.com/tudoimobiliaria.nh","@tudoimobiliaria.nh")</f>
        <v/>
      </c>
      <c r="E14" s="7" t="inlineStr"/>
      <c r="F14" s="5" t="inlineStr">
        <is>
          <t>5.052 seguidores com tradição desde 1986 e conteúdo regular — imobiliária consolidada sem investimento em tráfego pago para captação digital de leads</t>
        </is>
      </c>
      <c r="G14" s="5" t="inlineStr">
        <is>
          <t>5,1k seguidores · 460 posts · 3x/semana · boa identidade · posts de imóveis e dicas</t>
        </is>
      </c>
    </row>
    <row r="15" ht="48" customHeight="1">
      <c r="A15" s="8" t="inlineStr">
        <is>
          <t>Weber Imóveis</t>
        </is>
      </c>
      <c r="B15" s="9" t="inlineStr">
        <is>
          <t>Novo Hamburgo</t>
        </is>
      </c>
      <c r="C15" s="9" t="inlineStr">
        <is>
          <t>Imobiliária - Vendas e Locação</t>
        </is>
      </c>
      <c r="D15" s="10">
        <f>HYPERLINK("https://instagram.com/weberimoveisrs","@weberimoveisrs")</f>
        <v/>
      </c>
      <c r="E15" s="11" t="inlineStr"/>
      <c r="F15" s="9" t="inlineStr">
        <is>
          <t>13 anos de experiência em vendas e aluguel com conteúdo digital ativo — sem tráfego pago, captação de clientes ainda baseada em reputação e orgânico</t>
        </is>
      </c>
      <c r="G15" s="9" t="inlineStr">
        <is>
          <t>3,2k seguidores · 310 posts · 2x/semana · conteúdo de qualidade · posts regulares</t>
        </is>
      </c>
    </row>
    <row r="16" ht="48" customHeight="1">
      <c r="A16" s="4" t="inlineStr">
        <is>
          <t>New Imobiliária Novo Hamburgo</t>
        </is>
      </c>
      <c r="B16" s="5" t="inlineStr">
        <is>
          <t>Novo Hamburgo</t>
        </is>
      </c>
      <c r="C16" s="5" t="inlineStr">
        <is>
          <t>Imobiliária - Famílias e Compra</t>
        </is>
      </c>
      <c r="D16" s="6">
        <f>HYPERLINK("https://instagram.com/new_imobiliaria","@new_imobiliaria")</f>
        <v/>
      </c>
      <c r="E16" s="7" t="inlineStr"/>
      <c r="F16" s="5" t="inlineStr">
        <is>
          <t>15 anos ajudando famílias a encontrar o lar ideal com presença Instagram ativa — sem tráfego pago para alcançar novas famílias em busca de imóvel</t>
        </is>
      </c>
      <c r="G16" s="5" t="inlineStr">
        <is>
          <t>2,8k seguidores · 280 posts · 2x/semana · foco família · copywriting emocional</t>
        </is>
      </c>
    </row>
    <row r="17" ht="48" customHeight="1">
      <c r="A17" s="8" t="inlineStr">
        <is>
          <t>Wallau Imóveis</t>
        </is>
      </c>
      <c r="B17" s="9" t="inlineStr">
        <is>
          <t>Novo Hamburgo</t>
        </is>
      </c>
      <c r="C17" s="9" t="inlineStr">
        <is>
          <t>Imobiliária - Vendas e Locação</t>
        </is>
      </c>
      <c r="D17" s="10">
        <f>HYPERLINK("https://instagram.com/wallauimoveis","@wallauimoveis")</f>
        <v/>
      </c>
      <c r="E17" s="11" t="inlineStr"/>
      <c r="F17" s="9" t="inlineStr">
        <is>
          <t>Imobiliária com atendimento humanizado desde 2011 e conteúdo digital ativo — sem tráfego pago, crescimento de leads limitado ao boca-a-boca e orgânico</t>
        </is>
      </c>
      <c r="G17" s="9" t="inlineStr">
        <is>
          <t>2,4k seguidores · 260 posts · 2x/semana · conteúdo educativo · boa consistência</t>
        </is>
      </c>
    </row>
    <row r="18" ht="48" customHeight="1">
      <c r="A18" s="4" t="inlineStr">
        <is>
          <t>Delta Imóveis Cachoeirinha</t>
        </is>
      </c>
      <c r="B18" s="5" t="inlineStr">
        <is>
          <t>Cachoeirinha</t>
        </is>
      </c>
      <c r="C18" s="5" t="inlineStr">
        <is>
          <t>Imobiliária - Vendas, Locação e Adm.</t>
        </is>
      </c>
      <c r="D18" s="6">
        <f>HYPERLINK("https://instagram.com/deltaimoveis_cachoeirinha","@deltaimoveis_cachoeirinha")</f>
        <v/>
      </c>
      <c r="E18" s="7" t="inlineStr"/>
      <c r="F18" s="5" t="inlineStr">
        <is>
          <t>25 anos realizando sonhos em Cachoeirinha com Instagram ativo — sem tráfego pago, concorrência crescente exige investimento em visibilidade digital</t>
        </is>
      </c>
      <c r="G18" s="5" t="inlineStr">
        <is>
          <t>2,9k seguidores · 340 posts · 2x/semana · imóveis locais · conteúdo bem estruturado</t>
        </is>
      </c>
    </row>
    <row r="19" ht="48" customHeight="1">
      <c r="A19" s="8" t="inlineStr">
        <is>
          <t>König Imóveis Cachoeirinha</t>
        </is>
      </c>
      <c r="B19" s="9" t="inlineStr">
        <is>
          <t>Cachoeirinha</t>
        </is>
      </c>
      <c r="C19" s="9" t="inlineStr">
        <is>
          <t>Imobiliária - Aluguel e Venda</t>
        </is>
      </c>
      <c r="D19" s="10">
        <f>HYPERLINK("https://instagram.com/konigcachoeirinha","@konigcachoeirinha")</f>
        <v/>
      </c>
      <c r="E19" s="11" t="inlineStr"/>
      <c r="F19" s="9" t="inlineStr">
        <is>
          <t>22 anos com excelência em Cachoeirinha e conteúdo digital regular — sem tráfego pago Meta para escalar captação de leads qualificados de compradores e locatários</t>
        </is>
      </c>
      <c r="G19" s="9" t="inlineStr">
        <is>
          <t>2,3k seguidores · 290 posts · 2x/semana · bom conteúdo de imóveis · identidade ok</t>
        </is>
      </c>
    </row>
    <row r="20" ht="48" customHeight="1">
      <c r="A20" s="4" t="inlineStr">
        <is>
          <t>Severgnini Consultoria Imobiliária</t>
        </is>
      </c>
      <c r="B20" s="5" t="inlineStr">
        <is>
          <t>Cachoeirinha</t>
        </is>
      </c>
      <c r="C20" s="5" t="inlineStr">
        <is>
          <t>Imobiliária - Locação e Venda</t>
        </is>
      </c>
      <c r="D20" s="6">
        <f>HYPERLINK("https://instagram.com/imobi_severgnini","@imobi_severgnini")</f>
        <v/>
      </c>
      <c r="E20" s="7" t="inlineStr"/>
      <c r="F20" s="5" t="inlineStr">
        <is>
          <t>Imobiliária com atendimento ágil e focado, presença Instagram ativa — sem tráfego pago para ampliar alcance além da clientela atual e das indicações</t>
        </is>
      </c>
      <c r="G20" s="5" t="inlineStr">
        <is>
          <t>1,8k seguidores · 220 posts · 2x/semana · conteúdo de serviço · copy presente</t>
        </is>
      </c>
    </row>
    <row r="21" ht="48" customHeight="1">
      <c r="A21" s="8" t="inlineStr">
        <is>
          <t>Imobiliária Selo Cachoeirinha</t>
        </is>
      </c>
      <c r="B21" s="9" t="inlineStr">
        <is>
          <t>Cachoeirinha</t>
        </is>
      </c>
      <c r="C21" s="9" t="inlineStr">
        <is>
          <t>Imobiliária - Aluguel, Venda e Adm.</t>
        </is>
      </c>
      <c r="D21" s="10">
        <f>HYPERLINK("https://instagram.com/imobiliariaselocachoeirinha","@imobiliariaselocachoeirinha")</f>
        <v/>
      </c>
      <c r="E21" s="11" t="inlineStr"/>
      <c r="F21" s="9" t="inlineStr">
        <is>
          <t>Desde 1968 em Cachoeirinha com conteúdo ativo no Instagram — sem tráfego pago, a autoridade histórica não se converte em alcance digital suficiente</t>
        </is>
      </c>
      <c r="G21" s="9" t="inlineStr">
        <is>
          <t>1,6k seguidores · 190 posts · 2x/semana · posts de imóveis · identidade tradicional</t>
        </is>
      </c>
    </row>
    <row r="22" ht="48" customHeight="1">
      <c r="A22" s="4" t="inlineStr">
        <is>
          <t>Realiza Imóveis Viamão</t>
        </is>
      </c>
      <c r="B22" s="5" t="inlineStr">
        <is>
          <t>Viamão</t>
        </is>
      </c>
      <c r="C22" s="5" t="inlineStr">
        <is>
          <t>Imobiliária - Maior de Viamão</t>
        </is>
      </c>
      <c r="D22" s="6">
        <f>HYPERLINK("https://instagram.com/realizaimoveis_","@realizaimoveis_")</f>
        <v/>
      </c>
      <c r="E22" s="7" t="inlineStr"/>
      <c r="F22" s="5" t="inlineStr">
        <is>
          <t>11k seguidores e 25 anos como maior imobiliária de Viamão — conteúdo de alta qualidade mas sem tráfego pago para manter liderança e escalar captação</t>
        </is>
      </c>
      <c r="G22" s="5" t="inlineStr">
        <is>
          <t>11k seguidores · 590 posts · 4x/semana · alto padrão visual · stories ativos</t>
        </is>
      </c>
    </row>
    <row r="23" ht="48" customHeight="1">
      <c r="A23" s="8" t="inlineStr">
        <is>
          <t>Sul Casa Viamão</t>
        </is>
      </c>
      <c r="B23" s="9" t="inlineStr">
        <is>
          <t>Viamão</t>
        </is>
      </c>
      <c r="C23" s="9" t="inlineStr">
        <is>
          <t>Imobiliária - Lançamentos e Vendas</t>
        </is>
      </c>
      <c r="D23" s="10">
        <f>HYPERLINK("https://instagram.com/imobiliariasulcasa","@imobiliariasulcasa")</f>
        <v/>
      </c>
      <c r="E23" s="11" t="inlineStr"/>
      <c r="F23" s="9" t="inlineStr">
        <is>
          <t>13k seguidores e líder em lançamentos em Viamão — conteúdo excelente mas sem tráfego pago estruturado para converter audiência em compradores nos lançamentos</t>
        </is>
      </c>
      <c r="G23" s="9" t="inlineStr">
        <is>
          <t>13k seguidores · 630 posts · 4x/semana · conteúdo premium · lançamentos em destaque</t>
        </is>
      </c>
    </row>
    <row r="24" ht="48" customHeight="1">
      <c r="A24" s="4" t="inlineStr">
        <is>
          <t>Imobiliária Rospide Viamão</t>
        </is>
      </c>
      <c r="B24" s="5" t="inlineStr">
        <is>
          <t>Viamão</t>
        </is>
      </c>
      <c r="C24" s="5" t="inlineStr">
        <is>
          <t>Imobiliária - Serviço 360º</t>
        </is>
      </c>
      <c r="D24" s="6">
        <f>HYPERLINK("https://instagram.com/imobiliariarospide","@imobiliariarospide")</f>
        <v/>
      </c>
      <c r="E24" s="7" t="inlineStr"/>
      <c r="F24" s="5" t="inlineStr">
        <is>
          <t>Nº1 em Viamão com serviço 360º e conteúdo ativo — sem tráfego pago, alcance limitado ao boca-a-boca e audiência orgânica atual</t>
        </is>
      </c>
      <c r="G24" s="5" t="inlineStr">
        <is>
          <t>3,4k seguidores · 310 posts · 2x/semana · serviços completos · identidade sólida</t>
        </is>
      </c>
    </row>
    <row r="25" ht="48" customHeight="1">
      <c r="A25" s="8" t="inlineStr">
        <is>
          <t>JP Assessoria Imobiliária Viamão</t>
        </is>
      </c>
      <c r="B25" s="9" t="inlineStr">
        <is>
          <t>Viamão</t>
        </is>
      </c>
      <c r="C25" s="9" t="inlineStr">
        <is>
          <t>Imobiliária - Compra, Venda e Locação</t>
        </is>
      </c>
      <c r="D25" s="10">
        <f>HYPERLINK("https://instagram.com/jp.assessoria.imobiliaria","@jp.assessoria.imobiliaria")</f>
        <v/>
      </c>
      <c r="E25" s="11" t="inlineStr"/>
      <c r="F25" s="9" t="inlineStr">
        <is>
          <t>Assessoria imobiliária com conteúdo ativo e bom posicionamento local — sem investimento em tráfego pago para escalar captação de clientes em Viamão e região</t>
        </is>
      </c>
      <c r="G25" s="9" t="inlineStr">
        <is>
          <t>2,1k seguidores · 240 posts · 2x/semana · dicas de compra e venda · posts regulares</t>
        </is>
      </c>
    </row>
    <row r="26" ht="48" customHeight="1">
      <c r="A26" s="4" t="inlineStr">
        <is>
          <t>Imobiliária Luz Esteio</t>
        </is>
      </c>
      <c r="B26" s="5" t="inlineStr">
        <is>
          <t>Esteio</t>
        </is>
      </c>
      <c r="C26" s="5" t="inlineStr">
        <is>
          <t>Imobiliária - Aluguel e Venda</t>
        </is>
      </c>
      <c r="D26" s="6">
        <f>HYPERLINK("https://instagram.com/imobiliarialuzimoveis","@imobiliarialuzimoveis")</f>
        <v/>
      </c>
      <c r="E26" s="6">
        <f>HYPERLINK("https://wa.me/5551999850195","(51) 99985-0195")</f>
        <v/>
      </c>
      <c r="F26" s="5" t="inlineStr">
        <is>
          <t>Mais de 60 anos em Esteio com conteúdo digital ativo — sem tráfego pago, reputação histórica não se converte em presença digital escalável</t>
        </is>
      </c>
      <c r="G26" s="5" t="inlineStr">
        <is>
          <t>3,1k seguidores · 300 posts · 2x/semana · imóveis locais · identidade consolidada</t>
        </is>
      </c>
    </row>
    <row r="27" ht="48" customHeight="1">
      <c r="A27" s="8" t="inlineStr">
        <is>
          <t>Fioretti Imóveis Esteio</t>
        </is>
      </c>
      <c r="B27" s="9" t="inlineStr">
        <is>
          <t>Esteio</t>
        </is>
      </c>
      <c r="C27" s="9" t="inlineStr">
        <is>
          <t>Imobiliária - Vendas e Locação</t>
        </is>
      </c>
      <c r="D27" s="10">
        <f>HYPERLINK("https://instagram.com/fioretti.imoveis","@fioretti.imoveis")</f>
        <v/>
      </c>
      <c r="E27" s="11" t="inlineStr"/>
      <c r="F27" s="9" t="inlineStr">
        <is>
          <t>Imobiliária de casas e apartamentos em Esteio com conteúdo regular — sem tráfego pago, concorrência digital crescente e alcance orgânico estagnado</t>
        </is>
      </c>
      <c r="G27" s="9" t="inlineStr">
        <is>
          <t>1,7k seguidores · 210 posts · 2x/semana · fotos de imóveis · copy simples</t>
        </is>
      </c>
    </row>
    <row r="28" ht="48" customHeight="1">
      <c r="A28" s="4" t="inlineStr">
        <is>
          <t>Prediali Imobiliária Esteio</t>
        </is>
      </c>
      <c r="B28" s="5" t="inlineStr">
        <is>
          <t>Esteio</t>
        </is>
      </c>
      <c r="C28" s="5" t="inlineStr">
        <is>
          <t>Imobiliária - Vendas e Locação</t>
        </is>
      </c>
      <c r="D28" s="6">
        <f>HYPERLINK("https://instagram.com/prediali.imoveis","@prediali.imoveis")</f>
        <v/>
      </c>
      <c r="E28" s="7" t="inlineStr"/>
      <c r="F28" s="5" t="inlineStr">
        <is>
          <t>Imobiliária estabelecida em Esteio com Instagram ativo — sem tráfego pago Meta para ampliar base de compradores e inquilinos além do alcance orgânico atual</t>
        </is>
      </c>
      <c r="G28" s="5" t="inlineStr">
        <is>
          <t>1,4k seguidores · 180 posts · 2x/semana · conteúdo regular · boa apresentação</t>
        </is>
      </c>
    </row>
    <row r="29" ht="48" customHeight="1">
      <c r="A29" s="8" t="inlineStr">
        <is>
          <t>Imobiliária Sapucaia</t>
        </is>
      </c>
      <c r="B29" s="9" t="inlineStr">
        <is>
          <t>Sapucaia do Sul</t>
        </is>
      </c>
      <c r="C29" s="9" t="inlineStr">
        <is>
          <t>Imobiliária - Compra e Venda</t>
        </is>
      </c>
      <c r="D29" s="10">
        <f>HYPERLINK("https://instagram.com/imobiliariasapucaia","@imobiliariasapucaia")</f>
        <v/>
      </c>
      <c r="E29" s="10">
        <f>HYPERLINK("https://wa.me/5551999285300","(51) 99928-5300")</f>
        <v/>
      </c>
      <c r="F29" s="9" t="inlineStr">
        <is>
          <t>2.458 seguidores com conteúdo ativo e entrada parcelada como diferencial — sem tráfego pago para alcançar famílias em busca de primeiro imóvel em Sapucaia</t>
        </is>
      </c>
      <c r="G29" s="9" t="inlineStr">
        <is>
          <t>2,5k seguidores · 260 posts · 2x/semana · foco em entrada facilitada · stories ativos</t>
        </is>
      </c>
    </row>
    <row r="30" ht="48" customHeight="1">
      <c r="A30" s="4" t="inlineStr">
        <is>
          <t>Corretor &amp; Cia Sapucaia do Sul</t>
        </is>
      </c>
      <c r="B30" s="5" t="inlineStr">
        <is>
          <t>Sapucaia do Sul</t>
        </is>
      </c>
      <c r="C30" s="5" t="inlineStr">
        <is>
          <t>Imobiliária - Venda e Locação</t>
        </is>
      </c>
      <c r="D30" s="6">
        <f>HYPERLINK("https://instagram.com/corretor_e_cia","@corretor_e_cia")</f>
        <v/>
      </c>
      <c r="E30" s="6">
        <f>HYPERLINK("tel:+555137818188","(51) 3781-8188")</f>
        <v/>
      </c>
      <c r="F30" s="5" t="inlineStr">
        <is>
          <t>Imobiliária local com Instagram ativo cobrindo Sapucaia e Nova Santa Rita — sem tráfego pago Meta para ampliar alcance regional e captar leads qualificados</t>
        </is>
      </c>
      <c r="G30" s="5" t="inlineStr">
        <is>
          <t>1,9k seguidores · 220 posts · 2x/semana · cobertura regional · posts de imóveis</t>
        </is>
      </c>
    </row>
    <row r="31" ht="48" customHeight="1">
      <c r="A31" s="8" t="inlineStr">
        <is>
          <t>SAFT Imobiliária Sapucaia</t>
        </is>
      </c>
      <c r="B31" s="9" t="inlineStr">
        <is>
          <t>Sapucaia do Sul</t>
        </is>
      </c>
      <c r="C31" s="9" t="inlineStr">
        <is>
          <t>Imobiliária - Aluguel e Venda</t>
        </is>
      </c>
      <c r="D31" s="10">
        <f>HYPERLINK("https://instagram.com/saftimobiliaria","@saftimobiliaria")</f>
        <v/>
      </c>
      <c r="E31" s="11" t="inlineStr"/>
      <c r="F31" s="9" t="inlineStr">
        <is>
          <t>Imobiliária com presença consolidada em Sapucaia do Sul e conteúdo regular — sem tráfego pago, captação de novos clientes totalmente dependente do orgânico</t>
        </is>
      </c>
      <c r="G31" s="9" t="inlineStr">
        <is>
          <t>1,6k seguidores · 190 posts · 2x/semana · imóveis locais · conteúdo simples</t>
        </is>
      </c>
    </row>
    <row r="32" ht="48" customHeight="1">
      <c r="A32" s="4" t="inlineStr">
        <is>
          <t>Bela Vista Imob Nova Santa Rita</t>
        </is>
      </c>
      <c r="B32" s="5" t="inlineStr">
        <is>
          <t>Nova Santa Rita</t>
        </is>
      </c>
      <c r="C32" s="5" t="inlineStr">
        <is>
          <t>Imobiliária - Condomínios e Vendas</t>
        </is>
      </c>
      <c r="D32" s="6">
        <f>HYPERLINK("https://instagram.com/belavistaimob","@belavistaimob")</f>
        <v/>
      </c>
      <c r="E32" s="6">
        <f>HYPERLINK("https://wa.me/5551996264927","(51) 99626-4927")</f>
        <v/>
      </c>
      <c r="F32" s="5" t="inlineStr">
        <is>
          <t>Especialista em condomínios de alto padrão em Nova Santa Rita com conteúdo ativo — sem tráfego pago para atingir compradores potenciais de imóveis premium na região</t>
        </is>
      </c>
      <c r="G32" s="5" t="inlineStr">
        <is>
          <t>2,2k seguidores · 230 posts · 2x/semana · condomínios de alto padrão · boa apresentação</t>
        </is>
      </c>
    </row>
    <row r="33" ht="48" customHeight="1">
      <c r="A33" s="8" t="inlineStr">
        <is>
          <t>Vargas Imóveis Nova Santa Rita</t>
        </is>
      </c>
      <c r="B33" s="9" t="inlineStr">
        <is>
          <t>Nova Santa Rita</t>
        </is>
      </c>
      <c r="C33" s="9" t="inlineStr">
        <is>
          <t>Imobiliária - Venda e Locação</t>
        </is>
      </c>
      <c r="D33" s="10">
        <f>HYPERLINK("https://instagram.com/vargasimoveis_","@vargasimoveis_")</f>
        <v/>
      </c>
      <c r="E33" s="10">
        <f>HYPERLINK("https://wa.me/5551994534536","(51) 99453-4536")</f>
        <v/>
      </c>
      <c r="F33" s="9" t="inlineStr">
        <is>
          <t>Desde 2014 com atendimento humano e estratégico em Nova Santa Rita — sem tráfego pago Meta, crescimento de clientes baseado apenas em reputação local</t>
        </is>
      </c>
      <c r="G33" s="9" t="inlineStr">
        <is>
          <t>1,8k seguidores · 200 posts · 2x/semana · serviço transparente · copy presente</t>
        </is>
      </c>
    </row>
    <row r="34" ht="48" customHeight="1">
      <c r="A34" s="4" t="inlineStr">
        <is>
          <t>Imobiliária Guaíba</t>
        </is>
      </c>
      <c r="B34" s="5" t="inlineStr">
        <is>
          <t>Guaíba</t>
        </is>
      </c>
      <c r="C34" s="5" t="inlineStr">
        <is>
          <t>Imobiliária - Aluguel e Venda</t>
        </is>
      </c>
      <c r="D34" s="6">
        <f>HYPERLINK("https://instagram.com/imobiliariaguaibaoficial","@imobiliariaguaibaoficial")</f>
        <v/>
      </c>
      <c r="E34" s="7" t="inlineStr"/>
      <c r="F34" s="5" t="inlineStr">
        <is>
          <t>Mais de 40 anos em Guaíba com 3.983 seguidores e conteúdo de boa qualidade — sem tráfego pago, autoridade histórica não se traduz em geração de leads digital</t>
        </is>
      </c>
      <c r="G34" s="5" t="inlineStr">
        <is>
          <t>4,0k seguidores · 380 posts · 2-3x/semana · tradição de mercado · bom conteúdo</t>
        </is>
      </c>
    </row>
    <row r="35" ht="48" customHeight="1">
      <c r="A35" s="8" t="inlineStr">
        <is>
          <t>Eldorado Imóveis</t>
        </is>
      </c>
      <c r="B35" s="9" t="inlineStr">
        <is>
          <t>Guaíba</t>
        </is>
      </c>
      <c r="C35" s="9" t="inlineStr">
        <is>
          <t>Imobiliária - Compra e Venda</t>
        </is>
      </c>
      <c r="D35" s="10">
        <f>HYPERLINK("https://instagram.com/eldoradoimoveis","@eldoradoimoveis")</f>
        <v/>
      </c>
      <c r="E35" s="11" t="inlineStr"/>
      <c r="F35" s="9" t="inlineStr">
        <is>
          <t>49 anos de mercado e 4.255 seguidores com conteúdo consistente — sem tráfego pago Meta para modernizar captação e atrair novos compradores</t>
        </is>
      </c>
      <c r="G35" s="9" t="inlineStr">
        <is>
          <t>4,3k seguidores · 390 posts · 2x/semana · legado de mercado · identidade sólida</t>
        </is>
      </c>
    </row>
    <row r="36" ht="48" customHeight="1">
      <c r="A36" s="4" t="inlineStr">
        <is>
          <t>Vilmar Imóveis Guaíba</t>
        </is>
      </c>
      <c r="B36" s="5" t="inlineStr">
        <is>
          <t>Guaíba</t>
        </is>
      </c>
      <c r="C36" s="5" t="inlineStr">
        <is>
          <t>Imobiliária - Corretor Local</t>
        </is>
      </c>
      <c r="D36" s="6">
        <f>HYPERLINK("https://instagram.com/vilmarimoveisguaiba","@vilmarimoveisguaiba")</f>
        <v/>
      </c>
      <c r="E36" s="7" t="inlineStr"/>
      <c r="F36" s="5" t="inlineStr">
        <is>
          <t>20 anos como corretor em Guaíba com Instagram ativo — sem tráfego pago, captação de compradores limitada ao alcance orgânico e rede de indicações</t>
        </is>
      </c>
      <c r="G36" s="5" t="inlineStr">
        <is>
          <t>2,1k seguidores · 240 posts · 2x/semana · imóveis locais · posts regulares</t>
        </is>
      </c>
    </row>
    <row r="37" ht="48" customHeight="1">
      <c r="A37" s="8" t="inlineStr">
        <is>
          <t>Dera Imóveis Eldorado do Sul</t>
        </is>
      </c>
      <c r="B37" s="9" t="inlineStr">
        <is>
          <t>Eldorado do Sul</t>
        </is>
      </c>
      <c r="C37" s="9" t="inlineStr">
        <is>
          <t>Imobiliária - Vendas e Locação</t>
        </is>
      </c>
      <c r="D37" s="10">
        <f>HYPERLINK("https://instagram.com/deraimoveis","@deraimoveis")</f>
        <v/>
      </c>
      <c r="E37" s="11" t="inlineStr"/>
      <c r="F37" s="9" t="inlineStr">
        <is>
          <t>Imobiliária de confiança em Eldorado do Sul com conteúdo ativo e atendimento personalizado — sem tráfego pago para ampliar captação além do boca-a-boca local</t>
        </is>
      </c>
      <c r="G37" s="9" t="inlineStr">
        <is>
          <t>1,5k seguidores · 170 posts · 2x/semana · atendimento personalizado · copy básico</t>
        </is>
      </c>
    </row>
    <row r="38" ht="48" customHeight="1">
      <c r="A38" s="4" t="inlineStr">
        <is>
          <t>Edy Muniz Corretor Eldorado</t>
        </is>
      </c>
      <c r="B38" s="5" t="inlineStr">
        <is>
          <t>Eldorado do Sul</t>
        </is>
      </c>
      <c r="C38" s="5" t="inlineStr">
        <is>
          <t>Corretor Individual - Eldorado do Sul</t>
        </is>
      </c>
      <c r="D38" s="6">
        <f>HYPERLINK("https://instagram.com/eldorado_imobiliaria","@eldorado_imobiliaria")</f>
        <v/>
      </c>
      <c r="E38" s="7" t="inlineStr"/>
      <c r="F38" s="5" t="inlineStr">
        <is>
          <t>Corretor individual estabelecido em Eldorado do Sul com Instagram ativo — sem tráfego pago, totalmente dependente de orgânico e indicações para gerar negócios</t>
        </is>
      </c>
      <c r="G38" s="5" t="inlineStr">
        <is>
          <t>1,2k seguidores · 150 posts · 2x/semana · posts de imóveis locais · copy simples</t>
        </is>
      </c>
    </row>
    <row r="39" ht="48" customHeight="1">
      <c r="A39" s="8" t="inlineStr">
        <is>
          <t>Brickell Imóveis Porto Alegre</t>
        </is>
      </c>
      <c r="B39" s="9" t="inlineStr">
        <is>
          <t>Porto Alegre</t>
        </is>
      </c>
      <c r="C39" s="9" t="inlineStr">
        <is>
          <t>Imobiliária - Alto Padrão</t>
        </is>
      </c>
      <c r="D39" s="10">
        <f>HYPERLINK("https://instagram.com/brickellimoveis","@brickellimoveis")</f>
        <v/>
      </c>
      <c r="E39" s="11" t="inlineStr"/>
      <c r="F39" s="9" t="inlineStr">
        <is>
          <t>Especialista em imóveis de alto padrão com conteúdo premium e presença digital ativa — sem tráfego pago para alcançar perfil de comprador de alto ticket em POA</t>
        </is>
      </c>
      <c r="G39" s="9" t="inlineStr">
        <is>
          <t>3,8k seguidores · 310 posts · 2-3x/semana · fotos premium · identidade clara</t>
        </is>
      </c>
    </row>
    <row r="40" ht="48" customHeight="1">
      <c r="A40" s="4" t="inlineStr">
        <is>
          <t>Rial Imóveis Porto Alegre</t>
        </is>
      </c>
      <c r="B40" s="5" t="inlineStr">
        <is>
          <t>Porto Alegre</t>
        </is>
      </c>
      <c r="C40" s="5" t="inlineStr">
        <is>
          <t>Imobiliária - Locação, Condomínio e Venda</t>
        </is>
      </c>
      <c r="D40" s="6">
        <f>HYPERLINK("https://instagram.com/rialimoveis_","@rialimoveis_")</f>
        <v/>
      </c>
      <c r="E40" s="7" t="inlineStr"/>
      <c r="F40" s="5" t="inlineStr">
        <is>
          <t>Imobiliária na Zona Norte de POA com múltiplos serviços e conteúdo ativo — sem tráfego pago para captar inquilinos e compradores além do alcance orgânico</t>
        </is>
      </c>
      <c r="G40" s="5" t="inlineStr">
        <is>
          <t>2,7k seguidores · 280 posts · 2x/semana · portfólio variado · conteúdo regular</t>
        </is>
      </c>
    </row>
    <row r="41" ht="48" customHeight="1">
      <c r="A41" s="8" t="inlineStr">
        <is>
          <t>Nova Marca Imóveis Porto Alegre</t>
        </is>
      </c>
      <c r="B41" s="9" t="inlineStr">
        <is>
          <t>Porto Alegre</t>
        </is>
      </c>
      <c r="C41" s="9" t="inlineStr">
        <is>
          <t>Imobiliária - Venda e Locação</t>
        </is>
      </c>
      <c r="D41" s="10">
        <f>HYPERLINK("https://instagram.com/novamarcaimoveis","@novamarcaimoveis")</f>
        <v/>
      </c>
      <c r="E41" s="11" t="inlineStr"/>
      <c r="F41" s="9" t="inlineStr">
        <is>
          <t>Imobiliária com portfólio diversificado em POA e conteúdo Instagram ativo — sem tráfego pago, alcance limitado à base atual de seguidores e indicações</t>
        </is>
      </c>
      <c r="G41" s="9" t="inlineStr">
        <is>
          <t>2,3k seguidores · 250 posts · 2x/semana · imóveis variados · copy presente</t>
        </is>
      </c>
    </row>
    <row r="42" ht="48" customHeight="1">
      <c r="A42" s="4" t="inlineStr">
        <is>
          <t>Imóveis da Zona Sul Porto Alegre</t>
        </is>
      </c>
      <c r="B42" s="5" t="inlineStr">
        <is>
          <t>Porto Alegre</t>
        </is>
      </c>
      <c r="C42" s="5" t="inlineStr">
        <is>
          <t>Imobiliária - Especialista Zona Sul</t>
        </is>
      </c>
      <c r="D42" s="6">
        <f>HYPERLINK("https://instagram.com/imoveisdazonasul","@imoveisdazonasul")</f>
        <v/>
      </c>
      <c r="E42" s="7" t="inlineStr"/>
      <c r="F42" s="5" t="inlineStr">
        <is>
          <t>Especialista em imóveis da Zona Sul de POA com nicho bem definido e conteúdo ativo — sem tráfego pago, perdendo potenciais compradores do bairro que ainda não descobriram o perfil</t>
        </is>
      </c>
      <c r="G42" s="5" t="inlineStr">
        <is>
          <t>2,0k seguidores · 230 posts · 2x/semana · foco bairros zona sul · identidade ok</t>
        </is>
      </c>
    </row>
    <row r="43" ht="48" customHeight="1">
      <c r="A43" s="8" t="inlineStr">
        <is>
          <t>Realiza Imóveis Sapucaia</t>
        </is>
      </c>
      <c r="B43" s="9" t="inlineStr">
        <is>
          <t>Sapucaia do Sul</t>
        </is>
      </c>
      <c r="C43" s="9" t="inlineStr">
        <is>
          <t>Imobiliária - Filial Sapucaia</t>
        </is>
      </c>
      <c r="D43" s="10">
        <f>HYPERLINK("https://instagram.com/realizaimoveis_sapucaia","@realizaimoveis_sapucaia")</f>
        <v/>
      </c>
      <c r="E43" s="11" t="inlineStr"/>
      <c r="F43" s="9" t="inlineStr">
        <is>
          <t>Filial sapucaiense da maior imobiliária de Viamão com conteúdo ativo — sem tráfego pago Meta para replicar o sucesso da matriz e captar leads locais</t>
        </is>
      </c>
      <c r="G43" s="9" t="inlineStr">
        <is>
          <t>1,4k seguidores · 160 posts · 2x/semana · conteúdo de qualidade · identidade da rede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2026-04-15T19:33:10Z</dcterms:created>
  <dcterms:modified xmlns:dcterms="http://purl.org/dc/terms/" xmlns:xsi="http://www.w3.org/2001/XMLSchema-instance" xsi:type="dcterms:W3CDTF">2026-04-15T19:33:10Z</dcterms:modified>
</cp:coreProperties>
</file>