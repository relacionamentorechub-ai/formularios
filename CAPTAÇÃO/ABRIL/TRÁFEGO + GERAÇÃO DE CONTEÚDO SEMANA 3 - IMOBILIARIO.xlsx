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ÁFEGO + CONTEÚ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0" customWidth="1" min="4" max="4"/>
    <col width="24" customWidth="1" min="5" max="5"/>
    <col width="42" customWidth="1" min="6" max="6"/>
    <col width="36" customWidth="1" min="7" max="7"/>
  </cols>
  <sheetData>
    <row r="1" ht="30" customHeight="1">
      <c r="A1" s="1" t="inlineStr">
        <is>
          <t>🎯 LEADS — TRÁFEGO + GERAÇÃO DE CONTEÚDO | IMOBILIÁRIAS &amp; CORRETORES DE IMÓVEIS | Semana 3 — ABRIL</t>
        </is>
      </c>
    </row>
    <row r="2" ht="18" customHeight="1">
      <c r="A2" s="2" t="inlineStr">
        <is>
          <t>Total de leads: 40</t>
        </is>
      </c>
    </row>
    <row r="3" ht="32" customHeight="1">
      <c r="A3" s="3" t="inlineStr">
        <is>
          <t>NOME</t>
        </is>
      </c>
      <c r="B3" s="3" t="inlineStr">
        <is>
          <t>CIDADE</t>
        </is>
      </c>
      <c r="C3" s="3" t="inlineStr">
        <is>
          <t>NICHO</t>
        </is>
      </c>
      <c r="D3" s="3" t="inlineStr">
        <is>
          <t>INSTAGRAM</t>
        </is>
      </c>
      <c r="E3" s="3" t="inlineStr">
        <is>
          <t>TELEFONE / WHATSAPP</t>
        </is>
      </c>
      <c r="F3" s="3" t="inlineStr">
        <is>
          <t>PRINCIPAL PROBLEMA</t>
        </is>
      </c>
      <c r="G3" s="3" t="inlineStr">
        <is>
          <t>MÉTRICAS BÁSICAS</t>
        </is>
      </c>
    </row>
    <row r="4" ht="48" customHeight="1">
      <c r="A4" s="4" t="inlineStr">
        <is>
          <t>Marcelo Lazzarotto Corretor Canoas</t>
        </is>
      </c>
      <c r="B4" s="5" t="inlineStr">
        <is>
          <t>Canoas</t>
        </is>
      </c>
      <c r="C4" s="5" t="inlineStr">
        <is>
          <t>Corretor Individual</t>
        </is>
      </c>
      <c r="D4" s="6">
        <f>HYPERLINK("https://instagram.com/marcelolazzarotto.corretor","@marcelolazzarotto.corretor")</f>
        <v/>
      </c>
      <c r="E4" s="7" t="inlineStr"/>
      <c r="F4" s="5" t="inlineStr">
        <is>
          <t>Corretor com posts esporádicos e qualidade visual baixa — sem estratégia editorial, fotos sem edição e ausência de copy para atrair compradores</t>
        </is>
      </c>
      <c r="G4" s="5" t="inlineStr">
        <is>
          <t>420 seguidores · 28 posts · muito irregular · fotos de celular · sem identidade</t>
        </is>
      </c>
    </row>
    <row r="5" ht="48" customHeight="1">
      <c r="A5" s="8" t="inlineStr">
        <is>
          <t>Imobiliária Benin Canoas</t>
        </is>
      </c>
      <c r="B5" s="9" t="inlineStr">
        <is>
          <t>Canoas</t>
        </is>
      </c>
      <c r="C5" s="9" t="inlineStr">
        <is>
          <t>Imobiliária - Venda e Locação</t>
        </is>
      </c>
      <c r="D5" s="10">
        <f>HYPERLINK("https://instagram.com/benin.imoveis","@benin.imoveis")</f>
        <v/>
      </c>
      <c r="E5" s="11" t="inlineStr"/>
      <c r="F5" s="9" t="inlineStr">
        <is>
          <t>Imobiliária local com presença digital desatualizada — gaps de 60+ dias entre posts e ausência de estratégia editorial visível</t>
        </is>
      </c>
      <c r="G5" s="9" t="inlineStr">
        <is>
          <t>680 seguidores · 35 posts · irregular · identidade desatualizada · copy ausente</t>
        </is>
      </c>
    </row>
    <row r="6" ht="48" customHeight="1">
      <c r="A6" s="4" t="inlineStr">
        <is>
          <t>Ágora Locações Canoas</t>
        </is>
      </c>
      <c r="B6" s="5" t="inlineStr">
        <is>
          <t>Canoas</t>
        </is>
      </c>
      <c r="C6" s="5" t="inlineStr">
        <is>
          <t>Imobiliária - Locação</t>
        </is>
      </c>
      <c r="D6" s="6">
        <f>HYPERLINK("https://instagram.com/agoralocacoes","@agoralocacoes")</f>
        <v/>
      </c>
      <c r="E6" s="7" t="inlineStr"/>
      <c r="F6" s="5" t="inlineStr">
        <is>
          <t>Perfil de locações da Ágora com conteúdo esporádico e sem padrão editorial — oportunidade de estruturar conteúdo de locação e ativar tráfego para geração de leads</t>
        </is>
      </c>
      <c r="G6" s="5" t="inlineStr">
        <is>
          <t>590 seguidores · 30 posts · irregular · sem estratégia editorial · copy básico</t>
        </is>
      </c>
    </row>
    <row r="7" ht="48" customHeight="1">
      <c r="A7" s="8" t="inlineStr">
        <is>
          <t>Vivi Corretora de Imóveis Canoas</t>
        </is>
      </c>
      <c r="B7" s="9" t="inlineStr">
        <is>
          <t>Canoas</t>
        </is>
      </c>
      <c r="C7" s="9" t="inlineStr">
        <is>
          <t>Corretor Individual</t>
        </is>
      </c>
      <c r="D7" s="10">
        <f>HYPERLINK("https://instagram.com/vivicorretoraimoveis","@vivicorretoraimoveis")</f>
        <v/>
      </c>
      <c r="E7" s="11" t="inlineStr"/>
      <c r="F7" s="9" t="inlineStr">
        <is>
          <t>Corretora individual com Instagram iniciante — poucos posts, qualidade de imagens baixa e sem posicionamento claro no mercado local</t>
        </is>
      </c>
      <c r="G7" s="9" t="inlineStr">
        <is>
          <t>310 seguidores · 18 posts · esporádico · fotos amadoras · sem estratégia</t>
        </is>
      </c>
    </row>
    <row r="8" ht="48" customHeight="1">
      <c r="A8" s="4" t="inlineStr">
        <is>
          <t>Maxxi Imóveis São Leopoldo</t>
        </is>
      </c>
      <c r="B8" s="5" t="inlineStr">
        <is>
          <t>São Leopoldo</t>
        </is>
      </c>
      <c r="C8" s="5" t="inlineStr">
        <is>
          <t>Imobiliária - Vendas e Locação</t>
        </is>
      </c>
      <c r="D8" s="6">
        <f>HYPERLINK("https://instagram.com/maxxi.imoveis","@maxxi.imoveis")</f>
        <v/>
      </c>
      <c r="E8" s="7" t="inlineStr"/>
      <c r="F8" s="5" t="inlineStr">
        <is>
          <t>26 anos de mercado mas apenas 1.879 seguidores com posts irregulares e sem padrão visual — experiência enorme mas digital completamente negligenciado</t>
        </is>
      </c>
      <c r="G8" s="5" t="inlineStr">
        <is>
          <t>1,9k seguidores · 60 posts · irregular · sem identidade visual · copy ausente</t>
        </is>
      </c>
    </row>
    <row r="9" ht="48" customHeight="1">
      <c r="A9" s="8" t="inlineStr">
        <is>
          <t>Carla Ruivo Corretora São Leopoldo</t>
        </is>
      </c>
      <c r="B9" s="9" t="inlineStr">
        <is>
          <t>São Leopoldo</t>
        </is>
      </c>
      <c r="C9" s="9" t="inlineStr">
        <is>
          <t>Corretor Individual</t>
        </is>
      </c>
      <c r="D9" s="10">
        <f>HYPERLINK("https://instagram.com/corretoracarlaruivo","@corretoracarlaruivo")</f>
        <v/>
      </c>
      <c r="E9" s="11" t="inlineStr"/>
      <c r="F9" s="9" t="inlineStr">
        <is>
          <t>Corretora individual com site próprio mas Instagram negligenciado — posts esporádicos sem estratégia e qualidade visual abaixo do potencial da profissional</t>
        </is>
      </c>
      <c r="G9" s="9" t="inlineStr">
        <is>
          <t>480 seguidores · 22 posts · muito irregular · fotos sem edição · sem copy</t>
        </is>
      </c>
    </row>
    <row r="10" ht="48" customHeight="1">
      <c r="A10" s="4" t="inlineStr">
        <is>
          <t>Isis Heinz Corretora São Leopoldo</t>
        </is>
      </c>
      <c r="B10" s="5" t="inlineStr">
        <is>
          <t>São Leopoldo</t>
        </is>
      </c>
      <c r="C10" s="5" t="inlineStr">
        <is>
          <t>Corretor Individual</t>
        </is>
      </c>
      <c r="D10" s="6">
        <f>HYPERLINK("https://instagram.com/isisheinzcorretora","@isisheinzcorretora")</f>
        <v/>
      </c>
      <c r="E10" s="7" t="inlineStr"/>
      <c r="F10" s="5" t="inlineStr">
        <is>
          <t>Corretora com site próprio mas presença Instagram embrionária — sem calendário editorial, identidade visual inexistente e captação de leads ainda 100% offline</t>
        </is>
      </c>
      <c r="G10" s="5" t="inlineStr">
        <is>
          <t>260 seguidores · 15 posts · esporádico · fotos básicas · sem posicionamento</t>
        </is>
      </c>
    </row>
    <row r="11" ht="48" customHeight="1">
      <c r="A11" s="8" t="inlineStr">
        <is>
          <t>Objetiva Imóveis São Leopoldo</t>
        </is>
      </c>
      <c r="B11" s="9" t="inlineStr">
        <is>
          <t>São Leopoldo</t>
        </is>
      </c>
      <c r="C11" s="9" t="inlineStr">
        <is>
          <t>Imobiliária - POA, NH e SL</t>
        </is>
      </c>
      <c r="D11" s="10">
        <f>HYPERLINK("https://instagram.com/objetivaimovel","@objetivaimovel")</f>
        <v/>
      </c>
      <c r="E11" s="11" t="inlineStr"/>
      <c r="F11" s="9" t="inlineStr">
        <is>
          <t>2.357 seguidores cobrindo 3 cidades mas com conteúdo irregular e sem padrão editorial — abrangência regional mas sem estratégia para aproveitar o potencial</t>
        </is>
      </c>
      <c r="G11" s="9" t="inlineStr">
        <is>
          <t>2,4k seguidores · 55 posts · irregular · conteúdo confuso · sem identidade definida</t>
        </is>
      </c>
    </row>
    <row r="12" ht="48" customHeight="1">
      <c r="A12" s="4" t="inlineStr">
        <is>
          <t>Anderson Lorenzi Corretor NH</t>
        </is>
      </c>
      <c r="B12" s="5" t="inlineStr">
        <is>
          <t>Novo Hamburgo</t>
        </is>
      </c>
      <c r="C12" s="5" t="inlineStr">
        <is>
          <t>Corretor Individual</t>
        </is>
      </c>
      <c r="D12" s="6">
        <f>HYPERLINK("https://instagram.com/corretorlorenzi","@corretorlorenzi")</f>
        <v/>
      </c>
      <c r="E12" s="7" t="inlineStr"/>
      <c r="F12" s="5" t="inlineStr">
        <is>
          <t>Corretor com 11 anos de mercado mas Instagram com gaps recorrentes e qualidade de conteúdo baixa — presença digital não reflete a experiência profissional</t>
        </is>
      </c>
      <c r="G12" s="5" t="inlineStr">
        <is>
          <t>620 seguidores · 38 posts · irregular · fotos sem edição · copy básico</t>
        </is>
      </c>
    </row>
    <row r="13" ht="48" customHeight="1">
      <c r="A13" s="8" t="inlineStr">
        <is>
          <t>Ampla Corretores Associados NH</t>
        </is>
      </c>
      <c r="B13" s="9" t="inlineStr">
        <is>
          <t>Novo Hamburgo</t>
        </is>
      </c>
      <c r="C13" s="9" t="inlineStr">
        <is>
          <t>Imobiliária - Corretores Associados</t>
        </is>
      </c>
      <c r="D13" s="10">
        <f>HYPERLINK("https://instagram.com/amplacorretoresnh","@amplacorretoresnh")</f>
        <v/>
      </c>
      <c r="E13" s="11" t="inlineStr"/>
      <c r="F13" s="9" t="inlineStr">
        <is>
          <t>Rede de corretores associados com presença digital desorganizada — sem identidade visual unificada, posts sem padrão e captação de leads não estruturada</t>
        </is>
      </c>
      <c r="G13" s="9" t="inlineStr">
        <is>
          <t>530 seguidores · 32 posts · irregular · sem identidade · conteúdo misto</t>
        </is>
      </c>
    </row>
    <row r="14" ht="48" customHeight="1">
      <c r="A14" s="4" t="inlineStr">
        <is>
          <t>Daniel Imóveis Novo Hamburgo</t>
        </is>
      </c>
      <c r="B14" s="5" t="inlineStr">
        <is>
          <t>Novo Hamburgo</t>
        </is>
      </c>
      <c r="C14" s="5" t="inlineStr">
        <is>
          <t>Imobiliária - Venda e Locação</t>
        </is>
      </c>
      <c r="D14" s="6">
        <f>HYPERLINK("https://instagram.com/danielimoveis.nh","@danielimoveis.nh")</f>
        <v/>
      </c>
      <c r="E14" s="7" t="inlineStr"/>
      <c r="F14" s="5" t="inlineStr">
        <is>
          <t>Imobiliária local com presença digital iniciante — posts esporádicos, identidade visual inconsistente e ausência de estratégia para captação de leads via Instagram</t>
        </is>
      </c>
      <c r="G14" s="5" t="inlineStr">
        <is>
          <t>450 seguidores · 25 posts · esporádico · sem identidade · fotos amadoras</t>
        </is>
      </c>
    </row>
    <row r="15" ht="48" customHeight="1">
      <c r="A15" s="8" t="inlineStr">
        <is>
          <t>Ritzel Imóveis Novo Hamburgo</t>
        </is>
      </c>
      <c r="B15" s="9" t="inlineStr">
        <is>
          <t>Novo Hamburgo</t>
        </is>
      </c>
      <c r="C15" s="9" t="inlineStr">
        <is>
          <t>Imobiliária - Venda e Locação</t>
        </is>
      </c>
      <c r="D15" s="10">
        <f>HYPERLINK("https://instagram.com/ritzelimoveis.nh","@ritzelimoveis.nh")</f>
        <v/>
      </c>
      <c r="E15" s="11" t="inlineStr"/>
      <c r="F15" s="9" t="inlineStr">
        <is>
          <t>Imobiliária com site próprio mas Instagram negligenciado — poucos posts, sem padrão e captação de leads ainda baseada em plataformas de classificados</t>
        </is>
      </c>
      <c r="G15" s="9" t="inlineStr">
        <is>
          <t>380 seguidores · 20 posts · muito irregular · fotos sem edição · sem copy</t>
        </is>
      </c>
    </row>
    <row r="16" ht="48" customHeight="1">
      <c r="A16" s="4" t="inlineStr">
        <is>
          <t>Jeferson Kayser Corretor Cachoeirinha</t>
        </is>
      </c>
      <c r="B16" s="5" t="inlineStr">
        <is>
          <t>Cachoeirinha</t>
        </is>
      </c>
      <c r="C16" s="5" t="inlineStr">
        <is>
          <t>Corretor Individual - Negócios Imobiliários</t>
        </is>
      </c>
      <c r="D16" s="6">
        <f>HYPERLINK("https://instagram.com/jefersonkayser","@jefersonkayser")</f>
        <v/>
      </c>
      <c r="E16" s="7" t="inlineStr"/>
      <c r="F16" s="5" t="inlineStr">
        <is>
          <t>Corretor individual em Cachoeirinha com Instagram desatualizado — posts muito esporádicos e sem estratégia de conteúdo para gerar leads de forma recorrente</t>
        </is>
      </c>
      <c r="G16" s="5" t="inlineStr">
        <is>
          <t>390 seguidores · 22 posts · esporádico · conteúdo básico · sem posicionamento</t>
        </is>
      </c>
    </row>
    <row r="17" ht="48" customHeight="1">
      <c r="A17" s="8" t="inlineStr">
        <is>
          <t>Raine Imóveis Cachoeirinha</t>
        </is>
      </c>
      <c r="B17" s="9" t="inlineStr">
        <is>
          <t>Cachoeirinha</t>
        </is>
      </c>
      <c r="C17" s="9" t="inlineStr">
        <is>
          <t>Corretor Individual</t>
        </is>
      </c>
      <c r="D17" s="10">
        <f>HYPERLINK("https://instagram.com/raineimoveis","@raineimoveis")</f>
        <v/>
      </c>
      <c r="E17" s="11" t="inlineStr"/>
      <c r="F17" s="9" t="inlineStr">
        <is>
          <t>Corretor em fase inicial com presença digital embrionária — perfil com poucos posts, sem identidade e sem estratégia de captação de leads</t>
        </is>
      </c>
      <c r="G17" s="9" t="inlineStr">
        <is>
          <t>280 seguidores · 15 posts · muito irregular · fotos básicas · sem copy</t>
        </is>
      </c>
    </row>
    <row r="18" ht="48" customHeight="1">
      <c r="A18" s="4" t="inlineStr">
        <is>
          <t>Alves Negócios Imobiliários Cachoeirinha</t>
        </is>
      </c>
      <c r="B18" s="5" t="inlineStr">
        <is>
          <t>Cachoeirinha</t>
        </is>
      </c>
      <c r="C18" s="5" t="inlineStr">
        <is>
          <t>Imobiliária - Vendas</t>
        </is>
      </c>
      <c r="D18" s="6">
        <f>HYPERLINK("https://instagram.com/alvesimob.cachoeirinha","@alvesimob.cachoeirinha")</f>
        <v/>
      </c>
      <c r="E18" s="7" t="inlineStr"/>
      <c r="F18" s="5" t="inlineStr">
        <is>
          <t>Imobiliária com atuação em Cachoeirinha, Gravataí e Canoas mas sem estratégia digital — conteúdo esporádico e sem identidade visual para comunicar o diferencial regional</t>
        </is>
      </c>
      <c r="G18" s="5" t="inlineStr">
        <is>
          <t>490 seguidores · 28 posts · irregular · sem padrão · cobertura regional negligenciada</t>
        </is>
      </c>
    </row>
    <row r="19" ht="48" customHeight="1">
      <c r="A19" s="8" t="inlineStr">
        <is>
          <t>VM Imóveis Cachoeirinha</t>
        </is>
      </c>
      <c r="B19" s="9" t="inlineStr">
        <is>
          <t>Cachoeirinha</t>
        </is>
      </c>
      <c r="C19" s="9" t="inlineStr">
        <is>
          <t>Imobiliária - Excelência e Profissionalismo</t>
        </is>
      </c>
      <c r="D19" s="10">
        <f>HYPERLINK("https://instagram.com/vmimobiliaria","@vmimobiliaria")</f>
        <v/>
      </c>
      <c r="E19" s="11" t="inlineStr"/>
      <c r="F19" s="9" t="inlineStr">
        <is>
          <t>Imobiliária renomada por excelência com presença digital aquém da reputação — posts básicos, sem estratégia editorial e sem tráfego pago para ampliar alcance</t>
        </is>
      </c>
      <c r="G19" s="9" t="inlineStr">
        <is>
          <t>550 seguidores · 30 posts · irregular · sem identidade visual forte · copy ausente</t>
        </is>
      </c>
    </row>
    <row r="20" ht="48" customHeight="1">
      <c r="A20" s="4" t="inlineStr">
        <is>
          <t>Imobiliária TN Silva Viamão</t>
        </is>
      </c>
      <c r="B20" s="5" t="inlineStr">
        <is>
          <t>Viamão</t>
        </is>
      </c>
      <c r="C20" s="5" t="inlineStr">
        <is>
          <t>Imobiliária - Aluguel e Venda</t>
        </is>
      </c>
      <c r="D20" s="6">
        <f>HYPERLINK("https://instagram.com/imobiliariatnsilva","@imobiliariatnsilva")</f>
        <v/>
      </c>
      <c r="E20" s="7" t="inlineStr"/>
      <c r="F20" s="5" t="inlineStr">
        <is>
          <t>Imobiliária local em Viamão com posts esporádicos e sem identidade visual — presença digital mínima para uma empresa com endereço físico estabelecido</t>
        </is>
      </c>
      <c r="G20" s="5" t="inlineStr">
        <is>
          <t>420 seguidores · 24 posts · irregular · fotos sem edição · sem estratégia</t>
        </is>
      </c>
    </row>
    <row r="21" ht="48" customHeight="1">
      <c r="A21" s="8" t="inlineStr">
        <is>
          <t>Vianna Corretores Viamão</t>
        </is>
      </c>
      <c r="B21" s="9" t="inlineStr">
        <is>
          <t>Viamão</t>
        </is>
      </c>
      <c r="C21" s="9" t="inlineStr">
        <is>
          <t>Imobiliária - Compra, Venda e Adm.</t>
        </is>
      </c>
      <c r="D21" s="10">
        <f>HYPERLINK("https://instagram.com/imobiliaria.viannaimoveis","@imobiliaria.viannaimoveis")</f>
        <v/>
      </c>
      <c r="E21" s="11" t="inlineStr"/>
      <c r="F21" s="9" t="inlineStr">
        <is>
          <t>Imobiliária com múltiplos serviços mas conteúdo Instagram inconsistente — identidade fragmentada, posts misturados sem calendário editorial definido</t>
        </is>
      </c>
      <c r="G21" s="9" t="inlineStr">
        <is>
          <t>640 seguidores · 40 posts · irregular · identidade confusa · copy básico</t>
        </is>
      </c>
    </row>
    <row r="22" ht="48" customHeight="1">
      <c r="A22" s="4" t="inlineStr">
        <is>
          <t>Lemes Corretor Imóveis Viamão</t>
        </is>
      </c>
      <c r="B22" s="5" t="inlineStr">
        <is>
          <t>Viamão</t>
        </is>
      </c>
      <c r="C22" s="5" t="inlineStr">
        <is>
          <t>Corretor Individual</t>
        </is>
      </c>
      <c r="D22" s="6">
        <f>HYPERLINK("https://instagram.com/lemescorretor.imoveis","@lemescorretor.imoveis")</f>
        <v/>
      </c>
      <c r="E22" s="7" t="inlineStr"/>
      <c r="F22" s="5" t="inlineStr">
        <is>
          <t>Corretor individual em Viamão com Instagram básico — posts sem frequência, qualidade de imagem baixa e sem estratégia de posicionamento no mercado local</t>
        </is>
      </c>
      <c r="G22" s="5" t="inlineStr">
        <is>
          <t>320 seguidores · 18 posts · muito irregular · fotos de celular · sem copy</t>
        </is>
      </c>
    </row>
    <row r="23" ht="48" customHeight="1">
      <c r="A23" s="8" t="inlineStr">
        <is>
          <t>Marcelo Luz Imóveis Esteio</t>
        </is>
      </c>
      <c r="B23" s="9" t="inlineStr">
        <is>
          <t>Esteio</t>
        </is>
      </c>
      <c r="C23" s="9" t="inlineStr">
        <is>
          <t>Imobiliária - Corretor de Referência</t>
        </is>
      </c>
      <c r="D23" s="10">
        <f>HYPERLINK("https://instagram.com/marceloluzimoveis","@marceloluzimoveis")</f>
        <v/>
      </c>
      <c r="E23" s="11" t="inlineStr"/>
      <c r="F23" s="9" t="inlineStr">
        <is>
          <t>Corretor de referência em Esteio mas com Instagram de baixíssima frequência — posts esporádicos e sem qualidade editorial, perdendo oportunidades de captação digital</t>
        </is>
      </c>
      <c r="G23" s="9" t="inlineStr">
        <is>
          <t>720 seguidores · 35 posts · irregular · conteúdo básico · sem posicionamento digital</t>
        </is>
      </c>
    </row>
    <row r="24" ht="48" customHeight="1">
      <c r="A24" s="4" t="inlineStr">
        <is>
          <t>Eduardo Klering Corretor Esteio</t>
        </is>
      </c>
      <c r="B24" s="5" t="inlineStr">
        <is>
          <t>Esteio</t>
        </is>
      </c>
      <c r="C24" s="5" t="inlineStr">
        <is>
          <t>Corretor Individual - Alto Padrão</t>
        </is>
      </c>
      <c r="D24" s="6">
        <f>HYPERLINK("https://instagram.com/corretoreduardoklering","@corretoreduardoklering")</f>
        <v/>
      </c>
      <c r="E24" s="7" t="inlineStr"/>
      <c r="F24" s="5" t="inlineStr">
        <is>
          <t>Especialista em imóveis de alto padrão em Esteio e Sapucaia por 15 anos mas sem estratégia digital — conteúdo amador para um posicionamento premium</t>
        </is>
      </c>
      <c r="G24" s="5" t="inlineStr">
        <is>
          <t>580 seguidores · 28 posts · irregular · fotos sem edição · sem identidade premium</t>
        </is>
      </c>
    </row>
    <row r="25" ht="48" customHeight="1">
      <c r="A25" s="8" t="inlineStr">
        <is>
          <t>Rosângela Imóveis Esteio</t>
        </is>
      </c>
      <c r="B25" s="9" t="inlineStr">
        <is>
          <t>Esteio</t>
        </is>
      </c>
      <c r="C25" s="9" t="inlineStr">
        <is>
          <t>Imobiliária - Venda e Locação</t>
        </is>
      </c>
      <c r="D25" s="10">
        <f>HYPERLINK("https://instagram.com/rosangelaimoveis.rs","@rosangelaimoveis.rs")</f>
        <v/>
      </c>
      <c r="E25" s="11" t="inlineStr"/>
      <c r="F25" s="9" t="inlineStr">
        <is>
          <t>Imobiliária local com presença digital embrionária — posts muito esporádicos e ausência total de estratégia de conteúdo ou captação via Instagram</t>
        </is>
      </c>
      <c r="G25" s="9" t="inlineStr">
        <is>
          <t>360 seguidores · 20 posts · muito irregular · fotos básicas · sem copy</t>
        </is>
      </c>
    </row>
    <row r="26" ht="48" customHeight="1">
      <c r="A26" s="4" t="inlineStr">
        <is>
          <t>Tua Corretora Sapucaia do Sul</t>
        </is>
      </c>
      <c r="B26" s="5" t="inlineStr">
        <is>
          <t>Sapucaia do Sul</t>
        </is>
      </c>
      <c r="C26" s="5" t="inlineStr">
        <is>
          <t>Imobiliária - Compra e Venda</t>
        </is>
      </c>
      <c r="D26" s="6">
        <f>HYPERLINK("https://instagram.com/tuacorretora.rs","@tuacorretora.rs")</f>
        <v/>
      </c>
      <c r="E26" s="7" t="inlineStr"/>
      <c r="F26" s="5" t="inlineStr">
        <is>
          <t>Imobiliária focada em compra de imóveis em Sapucaia com presença digital muito básica — sem padrão visual, posts esporádicos e sem estratégia editorial</t>
        </is>
      </c>
      <c r="G26" s="5" t="inlineStr">
        <is>
          <t>440 seguidores · 25 posts · irregular · identidade fraca · copy ausente</t>
        </is>
      </c>
    </row>
    <row r="27" ht="48" customHeight="1">
      <c r="A27" s="8" t="inlineStr">
        <is>
          <t>Imobiliária Mariani Sapucaia</t>
        </is>
      </c>
      <c r="B27" s="9" t="inlineStr">
        <is>
          <t>Sapucaia do Sul</t>
        </is>
      </c>
      <c r="C27" s="9" t="inlineStr">
        <is>
          <t>Imobiliária - Corretagem</t>
        </is>
      </c>
      <c r="D27" s="10">
        <f>HYPERLINK("https://instagram.com/imobiliariamariani","@imobiliariamariani")</f>
        <v/>
      </c>
      <c r="E27" s="11" t="inlineStr"/>
      <c r="F27" s="9" t="inlineStr">
        <is>
          <t>Imobiliária familiar em Sapucaia com site próprio mas digital negligenciado — Instagram com poucos posts e sem estratégia de captação de leads</t>
        </is>
      </c>
      <c r="G27" s="9" t="inlineStr">
        <is>
          <t>380 seguidores · 22 posts · muito irregular · fotos amadoras · sem identidade</t>
        </is>
      </c>
    </row>
    <row r="28" ht="48" customHeight="1">
      <c r="A28" s="4" t="inlineStr">
        <is>
          <t>Imobiliária Ideeal Nova Santa Rita</t>
        </is>
      </c>
      <c r="B28" s="5" t="inlineStr">
        <is>
          <t>Nova Santa Rita</t>
        </is>
      </c>
      <c r="C28" s="5" t="inlineStr">
        <is>
          <t>Imobiliária - NSR e Litoral Gaúcho</t>
        </is>
      </c>
      <c r="D28" s="6">
        <f>HYPERLINK("https://instagram.com/imobiliariaideeal","@imobiliariaideeal")</f>
        <v/>
      </c>
      <c r="E28" s="7" t="inlineStr"/>
      <c r="F28" s="5" t="inlineStr">
        <is>
          <t>Imobiliária nova com atuação em Nova Santa Rita, Canoas e litoral gaúcho mas sem estratégia editorial — conteúdo irregular e sem identidade definida</t>
        </is>
      </c>
      <c r="G28" s="5" t="inlineStr">
        <is>
          <t>510 seguidores · 30 posts · irregular · conteúdo misto · sem posicionamento</t>
        </is>
      </c>
    </row>
    <row r="29" ht="48" customHeight="1">
      <c r="A29" s="8" t="inlineStr">
        <is>
          <t>Imobiliária Santa Rita</t>
        </is>
      </c>
      <c r="B29" s="9" t="inlineStr">
        <is>
          <t>Nova Santa Rita</t>
        </is>
      </c>
      <c r="C29" s="9" t="inlineStr">
        <is>
          <t>Imobiliária - Especialista Local</t>
        </is>
      </c>
      <c r="D29" s="10">
        <f>HYPERLINK("https://instagram.com/imobiliariastarita","@imobiliariastarita")</f>
        <v/>
      </c>
      <c r="E29" s="11" t="inlineStr"/>
      <c r="F29" s="9" t="inlineStr">
        <is>
          <t>Imobiliária local em Nova Santa Rita com posts esporádicos e sem padrão visual — presença digital que não transmite profissionalismo nem gera leads</t>
        </is>
      </c>
      <c r="G29" s="9" t="inlineStr">
        <is>
          <t>340 seguidores · 19 posts · muito irregular · fotos básicas · sem copy</t>
        </is>
      </c>
    </row>
    <row r="30" ht="48" customHeight="1">
      <c r="A30" s="4" t="inlineStr">
        <is>
          <t>Vagner Muller Corretor Nova Santa Rita</t>
        </is>
      </c>
      <c r="B30" s="5" t="inlineStr">
        <is>
          <t>Nova Santa Rita</t>
        </is>
      </c>
      <c r="C30" s="5" t="inlineStr">
        <is>
          <t>Corretor Individual</t>
        </is>
      </c>
      <c r="D30" s="6">
        <f>HYPERLINK("https://instagram.com/vagnermuller.corretor","@vagnermuller.corretor")</f>
        <v/>
      </c>
      <c r="E30" s="7" t="inlineStr"/>
      <c r="F30" s="5" t="inlineStr">
        <is>
          <t>Corretor especializado em imóveis em Nova Santa Rita com presença digital mínima — sem calendário, fotos sem edição e sem captação estruturada via Meta</t>
        </is>
      </c>
      <c r="G30" s="5" t="inlineStr">
        <is>
          <t>290 seguidores · 16 posts · esporádico · fotos amadoras · sem posicionamento</t>
        </is>
      </c>
    </row>
    <row r="31" ht="48" customHeight="1">
      <c r="A31" s="8" t="inlineStr">
        <is>
          <t>Guima Imobiliária Guaíba</t>
        </is>
      </c>
      <c r="B31" s="9" t="inlineStr">
        <is>
          <t>Guaíba</t>
        </is>
      </c>
      <c r="C31" s="9" t="inlineStr">
        <is>
          <t>Imobiliária - Venda e Locação</t>
        </is>
      </c>
      <c r="D31" s="10">
        <f>HYPERLINK("https://instagram.com/guimaimoveis","@guimaimoveis")</f>
        <v/>
      </c>
      <c r="E31" s="11" t="inlineStr"/>
      <c r="F31" s="9" t="inlineStr">
        <is>
          <t>Imobiliária com as melhores ofertas em Guaíba mas sem estratégia digital — Instagram básico com posts irregulares e sem padrão editorial para atrair compradores</t>
        </is>
      </c>
      <c r="G31" s="9" t="inlineStr">
        <is>
          <t>520 seguidores · 28 posts · irregular · conteúdo básico · sem identidade</t>
        </is>
      </c>
    </row>
    <row r="32" ht="48" customHeight="1">
      <c r="A32" s="4" t="inlineStr">
        <is>
          <t>Bravo's Soluções Imobiliárias Guaíba</t>
        </is>
      </c>
      <c r="B32" s="5" t="inlineStr">
        <is>
          <t>Guaíba</t>
        </is>
      </c>
      <c r="C32" s="5" t="inlineStr">
        <is>
          <t>Imobiliária - Compra, Venda e Avaliação</t>
        </is>
      </c>
      <c r="D32" s="6">
        <f>HYPERLINK("https://instagram.com/bravossolucoesimoveis","@bravossolucoesimoveis")</f>
        <v/>
      </c>
      <c r="E32" s="7" t="inlineStr"/>
      <c r="F32" s="5" t="inlineStr">
        <is>
          <t>Imobiliária com foco em excelência mas presença digital aquém — posts esporádicos, sem identidade visual e sem estratégia de conteúdo para captar leads</t>
        </is>
      </c>
      <c r="G32" s="5" t="inlineStr">
        <is>
          <t>410 seguidores · 22 posts · irregular · fotos sem edição · copy ausente</t>
        </is>
      </c>
    </row>
    <row r="33" ht="48" customHeight="1">
      <c r="A33" s="8" t="inlineStr">
        <is>
          <t>Nique's Imóveis Guaíba</t>
        </is>
      </c>
      <c r="B33" s="9" t="inlineStr">
        <is>
          <t>Guaíba</t>
        </is>
      </c>
      <c r="C33" s="9" t="inlineStr">
        <is>
          <t>Imobiliária - Corretor Local</t>
        </is>
      </c>
      <c r="D33" s="10">
        <f>HYPERLINK("https://instagram.com/niquesimoveis","@niquesimoveis")</f>
        <v/>
      </c>
      <c r="E33" s="11" t="inlineStr"/>
      <c r="F33" s="9" t="inlineStr">
        <is>
          <t>Imobiliária local em Guaíba com presença digital muito básica — site próprio mas Instagram negligenciado, sem posts recentes e sem estratégia de captação</t>
        </is>
      </c>
      <c r="G33" s="9" t="inlineStr">
        <is>
          <t>330 seguidores · 18 posts · muito irregular · fotos amadoras · sem copy</t>
        </is>
      </c>
    </row>
    <row r="34" ht="48" customHeight="1">
      <c r="A34" s="4" t="inlineStr">
        <is>
          <t>Guaíba Country Imóveis Eldorado do Sul</t>
        </is>
      </c>
      <c r="B34" s="5" t="inlineStr">
        <is>
          <t>Eldorado do Sul</t>
        </is>
      </c>
      <c r="C34" s="5" t="inlineStr">
        <is>
          <t>Imobiliária - Sítios e Terrenos</t>
        </is>
      </c>
      <c r="D34" s="6">
        <f>HYPERLINK("https://instagram.com/guaibacountryimoveis","@guaibacountryimoveis")</f>
        <v/>
      </c>
      <c r="E34" s="7" t="inlineStr"/>
      <c r="F34" s="5" t="inlineStr">
        <is>
          <t>Especialista em sítios e terrenos no Guaíba Country Club sem estratégia digital — nicho premium com altíssimo potencial mas conteúdo amador e irregular</t>
        </is>
      </c>
      <c r="G34" s="5" t="inlineStr">
        <is>
          <t>470 seguidores · 26 posts · irregular · fotos sem edição · sem copy premium</t>
        </is>
      </c>
    </row>
    <row r="35" ht="48" customHeight="1">
      <c r="A35" s="8" t="inlineStr">
        <is>
          <t>Mirela Isotton Corretora Eldorado do Sul</t>
        </is>
      </c>
      <c r="B35" s="9" t="inlineStr">
        <is>
          <t>Eldorado do Sul</t>
        </is>
      </c>
      <c r="C35" s="9" t="inlineStr">
        <is>
          <t>Corretor Individual - Negócios Imobiliários</t>
        </is>
      </c>
      <c r="D35" s="10">
        <f>HYPERLINK("https://instagram.com/mirelaimoveis.rs","@mirelaimoveis.rs")</f>
        <v/>
      </c>
      <c r="E35" s="11" t="inlineStr"/>
      <c r="F35" s="9" t="inlineStr">
        <is>
          <t>Corretora individual com site próprio mas presença Instagram embrionária — sem estratégia de conteúdo e captação de leads 100% dependente de offline</t>
        </is>
      </c>
      <c r="G35" s="9" t="inlineStr">
        <is>
          <t>350 seguidores · 19 posts · esporádico · fotos básicas · sem posicionamento</t>
        </is>
      </c>
    </row>
    <row r="36" ht="48" customHeight="1">
      <c r="A36" s="4" t="inlineStr">
        <is>
          <t>POA Imob Porto Alegre</t>
        </is>
      </c>
      <c r="B36" s="5" t="inlineStr">
        <is>
          <t>Porto Alegre</t>
        </is>
      </c>
      <c r="C36" s="5" t="inlineStr">
        <is>
          <t>Imobiliária - Compra e Venda</t>
        </is>
      </c>
      <c r="D36" s="6">
        <f>HYPERLINK("https://instagram.com/poaimob","@poaimob")</f>
        <v/>
      </c>
      <c r="E36" s="7" t="inlineStr"/>
      <c r="F36" s="5" t="inlineStr">
        <is>
          <t>Imobiliária com os melhores imóveis de POA mas conteúdo Instagram sem padrão — identidade visual fraca, posts irregulares e sem estratégia editorial</t>
        </is>
      </c>
      <c r="G36" s="5" t="inlineStr">
        <is>
          <t>680 seguidores · 40 posts · irregular · sem identidade · conteúdo misturado</t>
        </is>
      </c>
    </row>
    <row r="37" ht="48" customHeight="1">
      <c r="A37" s="8" t="inlineStr">
        <is>
          <t>Trade Inteligência Imobiliária POA</t>
        </is>
      </c>
      <c r="B37" s="9" t="inlineStr">
        <is>
          <t>Porto Alegre</t>
        </is>
      </c>
      <c r="C37" s="9" t="inlineStr">
        <is>
          <t>Imobiliária - Zona Sul POA</t>
        </is>
      </c>
      <c r="D37" s="10">
        <f>HYPERLINK("https://instagram.com/imoveistrade","@imoveistrade")</f>
        <v/>
      </c>
      <c r="E37" s="11" t="inlineStr"/>
      <c r="F37" s="9" t="inlineStr">
        <is>
          <t>Especialista em imóveis da Zona Sul de POA com conteúdo esporádico — nicho bem definido mas sem estratégia editorial e sem tráfego pago para explorar o potencial</t>
        </is>
      </c>
      <c r="G37" s="9" t="inlineStr">
        <is>
          <t>580 seguidores · 32 posts · irregular · sem padrão visual · copy ausente</t>
        </is>
      </c>
    </row>
    <row r="38" ht="48" customHeight="1">
      <c r="A38" s="4" t="inlineStr">
        <is>
          <t>Lopes LRT Imóveis Porto Alegre</t>
        </is>
      </c>
      <c r="B38" s="5" t="inlineStr">
        <is>
          <t>Porto Alegre</t>
        </is>
      </c>
      <c r="C38" s="5" t="inlineStr">
        <is>
          <t>Imobiliária - Venda e Locação</t>
        </is>
      </c>
      <c r="D38" s="6">
        <f>HYPERLINK("https://instagram.com/lopeslrt","@lopeslrt")</f>
        <v/>
      </c>
      <c r="E38" s="7" t="inlineStr"/>
      <c r="F38" s="5" t="inlineStr">
        <is>
          <t>Imobiliária com atuação em Porto Alegre sem estratégia de conteúdo definida — posts básicos, frequência baixa e ausência de identidade visual diferenciada</t>
        </is>
      </c>
      <c r="G38" s="5" t="inlineStr">
        <is>
          <t>490 seguidores · 27 posts · esporádico · fotos básicas · sem copy</t>
        </is>
      </c>
    </row>
    <row r="39" ht="48" customHeight="1">
      <c r="A39" s="8" t="inlineStr">
        <is>
          <t>Diego Wantowsky Corretor POA</t>
        </is>
      </c>
      <c r="B39" s="9" t="inlineStr">
        <is>
          <t>Porto Alegre</t>
        </is>
      </c>
      <c r="C39" s="9" t="inlineStr">
        <is>
          <t>Corretor Individual</t>
        </is>
      </c>
      <c r="D39" s="10">
        <f>HYPERLINK("https://instagram.com/diegowantowsky","@diegowantowsky")</f>
        <v/>
      </c>
      <c r="E39" s="11" t="inlineStr"/>
      <c r="F39" s="9" t="inlineStr">
        <is>
          <t>Corretor individual em POA com Instagram desatualizado — posts esporádicos e qualidade visual baixa para um mercado competitivo como Porto Alegre</t>
        </is>
      </c>
      <c r="G39" s="9" t="inlineStr">
        <is>
          <t>410 seguidores · 22 posts · muito irregular · fotos de celular · sem identidade</t>
        </is>
      </c>
    </row>
    <row r="40" ht="48" customHeight="1">
      <c r="A40" s="4" t="inlineStr">
        <is>
          <t>Bridge Imóveis Porto Alegre</t>
        </is>
      </c>
      <c r="B40" s="5" t="inlineStr">
        <is>
          <t>Porto Alegre</t>
        </is>
      </c>
      <c r="C40" s="5" t="inlineStr">
        <is>
          <t>Imobiliária - Compra e Venda</t>
        </is>
      </c>
      <c r="D40" s="6">
        <f>HYPERLINK("https://instagram.com/bridgeimoveis","@bridgeimoveis")</f>
        <v/>
      </c>
      <c r="E40" s="7" t="inlineStr"/>
      <c r="F40" s="5" t="inlineStr">
        <is>
          <t>Imobiliária com CRECI registrado mas conteúdo Instagram básico e irregular — sem estratégia editorial e sem tráfego pago para se diferenciar no mercado de POA</t>
        </is>
      </c>
      <c r="G40" s="5" t="inlineStr">
        <is>
          <t>620 seguidores · 35 posts · irregular · identidade básica · copy ausente</t>
        </is>
      </c>
    </row>
    <row r="41" ht="48" customHeight="1">
      <c r="A41" s="8" t="inlineStr">
        <is>
          <t>Vera Bernardes Imobiliária Zona Sul POA</t>
        </is>
      </c>
      <c r="B41" s="9" t="inlineStr">
        <is>
          <t>Porto Alegre</t>
        </is>
      </c>
      <c r="C41" s="9" t="inlineStr">
        <is>
          <t>Imobiliária - Alto Padrão Zona Sul</t>
        </is>
      </c>
      <c r="D41" s="10">
        <f>HYPERLINK("https://instagram.com/verabernardeszs","@verabernardeszs")</f>
        <v/>
      </c>
      <c r="E41" s="11" t="inlineStr"/>
      <c r="F41" s="9" t="inlineStr">
        <is>
          <t>30 anos de referência no alto padrão da Zona Sul mas sem estratégia de conteúdo consistente — posts esporádicos e sem tráfego pago para o segmento premium</t>
        </is>
      </c>
      <c r="G41" s="9" t="inlineStr">
        <is>
          <t>850 seguidores · 45 posts · irregular · fotos ok · sem copy estratégico · baixa freq.</t>
        </is>
      </c>
    </row>
    <row r="42" ht="48" customHeight="1">
      <c r="A42" s="4" t="inlineStr">
        <is>
          <t>Confiança Imóveis RS</t>
        </is>
      </c>
      <c r="B42" s="5" t="inlineStr">
        <is>
          <t>Cachoeirinha</t>
        </is>
      </c>
      <c r="C42" s="5" t="inlineStr">
        <is>
          <t>Imobiliária - Múltiplas Cidades RS</t>
        </is>
      </c>
      <c r="D42" s="6">
        <f>HYPERLINK("https://instagram.com/confiancaimoveis.rs","@confiancaimoveis.rs")</f>
        <v/>
      </c>
      <c r="E42" s="7" t="inlineStr"/>
      <c r="F42" s="5" t="inlineStr">
        <is>
          <t>Imobiliária que atua em 9 cidades do RS mas sem estratégia de conteúdo — presença digital desorganizada e sem editorial para explorar o potencial da abrangência regional</t>
        </is>
      </c>
      <c r="G42" s="5" t="inlineStr">
        <is>
          <t>460 seguidores · 25 posts · irregular · identidade confusa · sem posicionamento</t>
        </is>
      </c>
    </row>
    <row r="43" ht="48" customHeight="1">
      <c r="A43" s="8" t="inlineStr">
        <is>
          <t>Ademir Morais Corretor Sapucaia</t>
        </is>
      </c>
      <c r="B43" s="9" t="inlineStr">
        <is>
          <t>Sapucaia do Sul</t>
        </is>
      </c>
      <c r="C43" s="9" t="inlineStr">
        <is>
          <t>Corretor Individual</t>
        </is>
      </c>
      <c r="D43" s="10">
        <f>HYPERLINK("https://instagram.com/ademircorretor.sapucaia","@ademircorretor.sapucaia")</f>
        <v/>
      </c>
      <c r="E43" s="11" t="inlineStr"/>
      <c r="F43" s="9" t="inlineStr">
        <is>
          <t>Corretor individual estabelecido em Sapucaia com presença digital embrionária — site próprio mas Instagram com posts muito esporádicos e sem estratégia de captação</t>
        </is>
      </c>
      <c r="G43" s="9" t="inlineStr">
        <is>
          <t>250 seguidores · 14 posts · muito irregular · fotos amadoras · sem copy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2026-04-15T19:33:11Z</dcterms:created>
  <dcterms:modified xmlns:dcterms="http://purl.org/dc/terms/" xmlns:xsi="http://www.w3.org/2001/XMLSchema-instance" xsi:type="dcterms:W3CDTF">2026-04-15T19:33:11Z</dcterms:modified>
</cp:coreProperties>
</file>