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Ó TRÁFE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30" customWidth="1" min="4" max="4"/>
    <col width="24" customWidth="1" min="5" max="5"/>
    <col width="42" customWidth="1" min="6" max="6"/>
    <col width="36" customWidth="1" min="7" max="7"/>
  </cols>
  <sheetData>
    <row r="1" ht="30" customHeight="1">
      <c r="A1" s="1" t="inlineStr">
        <is>
          <t>🎯 LEADS — SÓ TRÁFEGO PAGO | SAÚDE &amp; ESTÉTICA | Semana 2 — ABRIL</t>
        </is>
      </c>
    </row>
    <row r="2" ht="18" customHeight="1">
      <c r="A2" s="2" t="inlineStr">
        <is>
          <t>Total de leads: 40</t>
        </is>
      </c>
    </row>
    <row r="3" ht="32" customHeight="1">
      <c r="A3" s="3" t="inlineStr">
        <is>
          <t>NOME</t>
        </is>
      </c>
      <c r="B3" s="3" t="inlineStr">
        <is>
          <t>CIDADE</t>
        </is>
      </c>
      <c r="C3" s="3" t="inlineStr">
        <is>
          <t>NICHO</t>
        </is>
      </c>
      <c r="D3" s="3" t="inlineStr">
        <is>
          <t>INSTAGRAM</t>
        </is>
      </c>
      <c r="E3" s="3" t="inlineStr">
        <is>
          <t>TELEFONE / WHATSAPP</t>
        </is>
      </c>
      <c r="F3" s="3" t="inlineStr">
        <is>
          <t>PRINCIPAL PROBLEMA</t>
        </is>
      </c>
      <c r="G3" s="3" t="inlineStr">
        <is>
          <t>MÉTRICAS BÁSICAS</t>
        </is>
      </c>
    </row>
    <row r="4" ht="48" customHeight="1">
      <c r="A4" s="4" t="inlineStr">
        <is>
          <t>MegaPrime Odontologia Canoas</t>
        </is>
      </c>
      <c r="B4" s="5" t="inlineStr">
        <is>
          <t>Canoas</t>
        </is>
      </c>
      <c r="C4" s="5" t="inlineStr">
        <is>
          <t>Odontologia</t>
        </is>
      </c>
      <c r="D4" s="6">
        <f>HYPERLINK("https://instagram.com/megaprimecanoas","@megaprimecanoas")</f>
        <v/>
      </c>
      <c r="E4" s="6">
        <f>HYPERLINK("https://wa.me/5551991013262","(51) 99101-3262")</f>
        <v/>
      </c>
      <c r="F4" s="5" t="inlineStr">
        <is>
          <t>7.400 seguidores para rede odontológica — bom conteúdo mas alcance orgânico limitado, tráfego pago alavancaria captação de novos pacientes</t>
        </is>
      </c>
      <c r="G4" s="5" t="inlineStr">
        <is>
          <t>7,4k seguidores · 380 posts · 3x/semana · identidade visual consistente</t>
        </is>
      </c>
    </row>
    <row r="5" ht="48" customHeight="1">
      <c r="A5" s="7" t="inlineStr">
        <is>
          <t>Rede Odonto Canoas</t>
        </is>
      </c>
      <c r="B5" s="8" t="inlineStr">
        <is>
          <t>Canoas</t>
        </is>
      </c>
      <c r="C5" s="8" t="inlineStr">
        <is>
          <t>Odontologia</t>
        </is>
      </c>
      <c r="D5" s="9">
        <f>HYPERLINK("https://instagram.com/redeodonto.canoas","@redeodonto.canoas")</f>
        <v/>
      </c>
      <c r="E5" s="10" t="inlineStr"/>
      <c r="F5" s="8" t="inlineStr">
        <is>
          <t>Rede consolidada com conteúdo razoável mas visibilidade aquém do porte — tráfego pago para escalar captação local</t>
        </is>
      </c>
      <c r="G5" s="8" t="inlineStr">
        <is>
          <t>2,1k seguidores · 210 posts · 2x/semana · boa qualidade de imagens</t>
        </is>
      </c>
    </row>
    <row r="6" ht="48" customHeight="1">
      <c r="A6" s="4" t="inlineStr">
        <is>
          <t>OdontoHelp Canoas</t>
        </is>
      </c>
      <c r="B6" s="5" t="inlineStr">
        <is>
          <t>Canoas</t>
        </is>
      </c>
      <c r="C6" s="5" t="inlineStr">
        <is>
          <t>Odontologia</t>
        </is>
      </c>
      <c r="D6" s="6">
        <f>HYPERLINK("https://instagram.com/odontohelp_canoas","@odontohelp_canoas")</f>
        <v/>
      </c>
      <c r="E6" s="11" t="inlineStr"/>
      <c r="F6" s="5" t="inlineStr">
        <is>
          <t>Clínica desde 2009 com conteúdo ativo mas poucos seguidores para o tempo de mercado — tráfego pago para reconquistar visibilidade local</t>
        </is>
      </c>
      <c r="G6" s="5" t="inlineStr">
        <is>
          <t>1,8k seguidores · 290 posts · 2x/semana · baixo engajamento</t>
        </is>
      </c>
    </row>
    <row r="7" ht="48" customHeight="1">
      <c r="A7" s="7" t="inlineStr">
        <is>
          <t>Royal Face Canoas</t>
        </is>
      </c>
      <c r="B7" s="8" t="inlineStr">
        <is>
          <t>Canoas</t>
        </is>
      </c>
      <c r="C7" s="8" t="inlineStr">
        <is>
          <t>Harmonização Facial</t>
        </is>
      </c>
      <c r="D7" s="9">
        <f>HYPERLINK("https://instagram.com/royalfacecanoas","@royalfacecanoas")</f>
        <v/>
      </c>
      <c r="E7" s="10" t="inlineStr"/>
      <c r="F7" s="8" t="inlineStr">
        <is>
          <t>Rede de harmonização facial com posts ativos e qualidade de conteúdo mas alcance insuficiente para o segmento premium</t>
        </is>
      </c>
      <c r="G7" s="8" t="inlineStr">
        <is>
          <t>3,2k seguidores · 175 posts · 2-3x/semana · fotos com boa qualidade</t>
        </is>
      </c>
    </row>
    <row r="8" ht="48" customHeight="1">
      <c r="A8" s="4" t="inlineStr">
        <is>
          <t>Centro Odontológico Canoas</t>
        </is>
      </c>
      <c r="B8" s="5" t="inlineStr">
        <is>
          <t>Canoas</t>
        </is>
      </c>
      <c r="C8" s="5" t="inlineStr">
        <is>
          <t>Odontologia</t>
        </is>
      </c>
      <c r="D8" s="6">
        <f>HYPERLINK("https://instagram.com/centroodontologicocanoas","@centroodontologicocanoas")</f>
        <v/>
      </c>
      <c r="E8" s="6">
        <f>HYPERLINK("https://wa.me/5551998131007","(51) 99813-1007")</f>
        <v/>
      </c>
      <c r="F8" s="5" t="inlineStr">
        <is>
          <t>Clínica estabelecida com postagem regular mas alcance limitado ao bairro — tráfego pago para expandir raio de captação</t>
        </is>
      </c>
      <c r="G8" s="5" t="inlineStr">
        <is>
          <t>1,5k seguidores · 320 posts · 2x/semana · engajamento baixo vs. porte</t>
        </is>
      </c>
    </row>
    <row r="9" ht="48" customHeight="1">
      <c r="A9" s="7" t="inlineStr">
        <is>
          <t>Clínica Implantec Canoas</t>
        </is>
      </c>
      <c r="B9" s="8" t="inlineStr">
        <is>
          <t>Canoas</t>
        </is>
      </c>
      <c r="C9" s="8" t="inlineStr">
        <is>
          <t>Odontologia &amp; Harmonização</t>
        </is>
      </c>
      <c r="D9" s="9">
        <f>HYPERLINK("https://instagram.com/clinicaimplantec","@clinicaimplantec")</f>
        <v/>
      </c>
      <c r="E9" s="10" t="inlineStr"/>
      <c r="F9" s="8" t="inlineStr">
        <is>
          <t>Clínica multiespecialidade com conteúdo de qualidade mas seguidores abaixo do esperado para o ticket médio alto</t>
        </is>
      </c>
      <c r="G9" s="8" t="inlineStr">
        <is>
          <t>2,4k seguidores · 240 posts · 2x/semana · conteúdo educativo presente</t>
        </is>
      </c>
    </row>
    <row r="10" ht="48" customHeight="1">
      <c r="A10" s="4" t="inlineStr">
        <is>
          <t>Studio Bruna Rocha</t>
        </is>
      </c>
      <c r="B10" s="5" t="inlineStr">
        <is>
          <t>Sapucaia do Sul</t>
        </is>
      </c>
      <c r="C10" s="5" t="inlineStr">
        <is>
          <t>Estética &amp; Harmonização</t>
        </is>
      </c>
      <c r="D10" s="6">
        <f>HYPERLINK("https://instagram.com/studio_bruna_rocha","@studio_bruna_rocha")</f>
        <v/>
      </c>
      <c r="E10" s="11" t="inlineStr"/>
      <c r="F10" s="5" t="inlineStr">
        <is>
          <t>12.000 seguidores — maior perfil da cidade, conteúdo de excelente qualidade, mas engajamento não se converte em novos clientes sem tráfego estruturado</t>
        </is>
      </c>
      <c r="G10" s="5" t="inlineStr">
        <is>
          <t>12k seguidores · 430 posts · 4x/semana · alta qualidade visual · engajamento razoável</t>
        </is>
      </c>
    </row>
    <row r="11" ht="48" customHeight="1">
      <c r="A11" s="7" t="inlineStr">
        <is>
          <t>Studio Core Pilates</t>
        </is>
      </c>
      <c r="B11" s="8" t="inlineStr">
        <is>
          <t>Sapucaia do Sul</t>
        </is>
      </c>
      <c r="C11" s="8" t="inlineStr">
        <is>
          <t>Pilates</t>
        </is>
      </c>
      <c r="D11" s="9">
        <f>HYPERLINK("https://instagram.com/studiocorepilates","@studiocorepilates")</f>
        <v/>
      </c>
      <c r="E11" s="10" t="inlineStr"/>
      <c r="F11" s="8" t="inlineStr">
        <is>
          <t>Studio com 15 anos de mercado e apenas 2.197 seguidores — conteúdo ativo e consistente, problema é alcance, não produção</t>
        </is>
      </c>
      <c r="G11" s="8" t="inlineStr">
        <is>
          <t>2,2k seguidores · 310 posts · 2x/semana · posts educativos · boa identidade</t>
        </is>
      </c>
    </row>
    <row r="12" ht="48" customHeight="1">
      <c r="A12" s="4" t="inlineStr">
        <is>
          <t>Ser Fisio Fisioterapia</t>
        </is>
      </c>
      <c r="B12" s="5" t="inlineStr">
        <is>
          <t>Sapucaia do Sul</t>
        </is>
      </c>
      <c r="C12" s="5" t="inlineStr">
        <is>
          <t>Fisioterapia</t>
        </is>
      </c>
      <c r="D12" s="6">
        <f>HYPERLINK("https://instagram.com/serfisiofisioterapia","@serfisiofisioterapia")</f>
        <v/>
      </c>
      <c r="E12" s="6">
        <f>HYPERLINK("https://wa.me/5551989231808","(51) 98923-1808")</f>
        <v/>
      </c>
      <c r="F12" s="5" t="inlineStr">
        <is>
          <t>Clínica ativa com bom conteúdo clínico-educativo mas visibilidade local limitada — tráfego pago com segmentação por dor/lesão</t>
        </is>
      </c>
      <c r="G12" s="5" t="inlineStr">
        <is>
          <t>1,6k seguidores · 180 posts · 2x/semana · conteúdo técnico de qualidade</t>
        </is>
      </c>
    </row>
    <row r="13" ht="48" customHeight="1">
      <c r="A13" s="7" t="inlineStr">
        <is>
          <t>Exclusiva Fisioterapia e Pilates</t>
        </is>
      </c>
      <c r="B13" s="8" t="inlineStr">
        <is>
          <t>Sapucaia do Sul</t>
        </is>
      </c>
      <c r="C13" s="8" t="inlineStr">
        <is>
          <t>Fisioterapia &amp; Pilates</t>
        </is>
      </c>
      <c r="D13" s="9">
        <f>HYPERLINK("https://instagram.com/exclusivafisioterapiaepilates","@exclusivafisioterapiaepilates")</f>
        <v/>
      </c>
      <c r="E13" s="10" t="inlineStr"/>
      <c r="F13" s="8" t="inlineStr">
        <is>
          <t>Clínica com dupla especialidade e conteúdo regular, mas base de seguidores pequena para o potencial da cidade</t>
        </is>
      </c>
      <c r="G13" s="8" t="inlineStr">
        <is>
          <t>980 seguidores · 140 posts · 1-2x/semana · fotos com qualidade média-alta</t>
        </is>
      </c>
    </row>
    <row r="14" ht="48" customHeight="1">
      <c r="A14" s="4" t="inlineStr">
        <is>
          <t>BemMais Odonto Esteio</t>
        </is>
      </c>
      <c r="B14" s="5" t="inlineStr">
        <is>
          <t>Esteio</t>
        </is>
      </c>
      <c r="C14" s="5" t="inlineStr">
        <is>
          <t>Odontologia</t>
        </is>
      </c>
      <c r="D14" s="6">
        <f>HYPERLINK("https://instagram.com/bemmaisodonto","@bemmaisodonto")</f>
        <v/>
      </c>
      <c r="E14" s="11" t="inlineStr"/>
      <c r="F14" s="5" t="inlineStr">
        <is>
          <t>542 posts com 1.288 seguidores — produção de conteúdo consistente e de qualidade, mas alcance não condiz com o volume produzido</t>
        </is>
      </c>
      <c r="G14" s="5" t="inlineStr">
        <is>
          <t>1,3k seguidores · 542 posts · 4x/semana · alto volume de produção · copy presente</t>
        </is>
      </c>
    </row>
    <row r="15" ht="48" customHeight="1">
      <c r="A15" s="7" t="inlineStr">
        <is>
          <t>MegaPrime Esteio</t>
        </is>
      </c>
      <c r="B15" s="8" t="inlineStr">
        <is>
          <t>Esteio</t>
        </is>
      </c>
      <c r="C15" s="8" t="inlineStr">
        <is>
          <t>Odontologia</t>
        </is>
      </c>
      <c r="D15" s="9">
        <f>HYPERLINK("https://instagram.com/megaprimeesteio","@megaprimeesteio")</f>
        <v/>
      </c>
      <c r="E15" s="10" t="inlineStr"/>
      <c r="F15" s="8" t="inlineStr">
        <is>
          <t>Unidade da rede MegaPrime com conteúdo ativo mas desempenho orgânico fraco — tráfego pago para ativar a unidade localmente</t>
        </is>
      </c>
      <c r="G15" s="8" t="inlineStr">
        <is>
          <t>1,6k seguidores · 220 posts · 2x/semana · identidade de rede padronizada</t>
        </is>
      </c>
    </row>
    <row r="16" ht="48" customHeight="1">
      <c r="A16" s="4" t="inlineStr">
        <is>
          <t>Clínica MultiSaúde São Leopoldo</t>
        </is>
      </c>
      <c r="B16" s="5" t="inlineStr">
        <is>
          <t>São Leopoldo</t>
        </is>
      </c>
      <c r="C16" s="5" t="inlineStr">
        <is>
          <t>Saúde Multidisciplinar</t>
        </is>
      </c>
      <c r="D16" s="6">
        <f>HYPERLINK("https://instagram.com/clinica_multisaude","@clinica_multisaude")</f>
        <v/>
      </c>
      <c r="E16" s="11" t="inlineStr"/>
      <c r="F16" s="5" t="inlineStr">
        <is>
          <t>4.507 seguidores com conteúdo regular — porte relevante mas conversão abaixo do potencial, tráfego pago para escalar agendamentos</t>
        </is>
      </c>
      <c r="G16" s="5" t="inlineStr">
        <is>
          <t>4,5k seguidores · 390 posts · 3x/semana · boa variedade de conteúdo</t>
        </is>
      </c>
    </row>
    <row r="17" ht="48" customHeight="1">
      <c r="A17" s="7" t="inlineStr">
        <is>
          <t>Vita Clínica São Leopoldo</t>
        </is>
      </c>
      <c r="B17" s="8" t="inlineStr">
        <is>
          <t>São Leopoldo</t>
        </is>
      </c>
      <c r="C17" s="8" t="inlineStr">
        <is>
          <t>Odontologia &amp; Estética</t>
        </is>
      </c>
      <c r="D17" s="9">
        <f>HYPERLINK("https://instagram.com/vitaclinicasl","@vitaclinicasl")</f>
        <v/>
      </c>
      <c r="E17" s="10" t="inlineStr"/>
      <c r="F17" s="8" t="inlineStr">
        <is>
          <t>2.879 seguidores com conteúdo de qualidade mas engajamento baixo — tráfego pago para converter audiência existente e ampliar alcance</t>
        </is>
      </c>
      <c r="G17" s="8" t="inlineStr">
        <is>
          <t>2,9k seguidores · 280 posts · 2x/semana · design profissional · CTA presente</t>
        </is>
      </c>
    </row>
    <row r="18" ht="48" customHeight="1">
      <c r="A18" s="4" t="inlineStr">
        <is>
          <t>Oralunic São Leopoldo</t>
        </is>
      </c>
      <c r="B18" s="5" t="inlineStr">
        <is>
          <t>São Leopoldo</t>
        </is>
      </c>
      <c r="C18" s="5" t="inlineStr">
        <is>
          <t>Odontologia</t>
        </is>
      </c>
      <c r="D18" s="6">
        <f>HYPERLINK("https://instagram.com/oralunicsaoleopoldo","@oralunicsaoleopoldo")</f>
        <v/>
      </c>
      <c r="E18" s="11" t="inlineStr"/>
      <c r="F18" s="5" t="inlineStr">
        <is>
          <t>Rede consolidada com postagens regulares mas alcance local insuficiente — tráfego pago para captação de novos pacientes na região</t>
        </is>
      </c>
      <c r="G18" s="5" t="inlineStr">
        <is>
          <t>2,1k seguidores · 260 posts · 2x/semana · conteúdo padronizado da rede</t>
        </is>
      </c>
    </row>
    <row r="19" ht="48" customHeight="1">
      <c r="A19" s="7" t="inlineStr">
        <is>
          <t>Dental Fácil São Leopoldo</t>
        </is>
      </c>
      <c r="B19" s="8" t="inlineStr">
        <is>
          <t>São Leopoldo</t>
        </is>
      </c>
      <c r="C19" s="8" t="inlineStr">
        <is>
          <t>Odontologia</t>
        </is>
      </c>
      <c r="D19" s="9">
        <f>HYPERLINK("https://instagram.com/dentalfacilsl","@dentalfacilsl")</f>
        <v/>
      </c>
      <c r="E19" s="10" t="inlineStr"/>
      <c r="F19" s="8" t="inlineStr">
        <is>
          <t>Clínica com 17 anos de mercado e presença digital ativa mas pequena para o tempo de atuação — tráfego para recuperar visibilidade</t>
        </is>
      </c>
      <c r="G19" s="8" t="inlineStr">
        <is>
          <t>1,4k seguidores · 310 posts · 2x/semana · conteúdo educativo consistente</t>
        </is>
      </c>
    </row>
    <row r="20" ht="48" customHeight="1">
      <c r="A20" s="4" t="inlineStr">
        <is>
          <t>Clínica Santes São Leopoldo</t>
        </is>
      </c>
      <c r="B20" s="5" t="inlineStr">
        <is>
          <t>São Leopoldo</t>
        </is>
      </c>
      <c r="C20" s="5" t="inlineStr">
        <is>
          <t>Saúde &amp; Estética</t>
        </is>
      </c>
      <c r="D20" s="6">
        <f>HYPERLINK("https://instagram.com/clinicasantesl","@clinicasantesl")</f>
        <v/>
      </c>
      <c r="E20" s="11" t="inlineStr"/>
      <c r="F20" s="5" t="inlineStr">
        <is>
          <t>1.789 seguidores com postagem constante — conteúdo de média-alta qualidade, o gargalo é o alcance orgânico limitado</t>
        </is>
      </c>
      <c r="G20" s="5" t="inlineStr">
        <is>
          <t>1,8k seguidores · 195 posts · 2x/semana · reels e carrosséis · boa copy</t>
        </is>
      </c>
    </row>
    <row r="21" ht="48" customHeight="1">
      <c r="A21" s="7" t="inlineStr">
        <is>
          <t>OrthoSim São Leopoldo</t>
        </is>
      </c>
      <c r="B21" s="8" t="inlineStr">
        <is>
          <t>São Leopoldo</t>
        </is>
      </c>
      <c r="C21" s="8" t="inlineStr">
        <is>
          <t>Ortodontia</t>
        </is>
      </c>
      <c r="D21" s="9">
        <f>HYPERLINK("https://instagram.com/orthosimsaoleopoldo","@orthosimsaoleopoldo")</f>
        <v/>
      </c>
      <c r="E21" s="10" t="inlineStr"/>
      <c r="F21" s="8" t="inlineStr">
        <is>
          <t>Clínica de ortodontia com conteúdo ativo (1.767 seg) mas alcance aquém para o nicho premium — tráfego segmentado por faixa etária</t>
        </is>
      </c>
      <c r="G21" s="8" t="inlineStr">
        <is>
          <t>1,8k seguidores · 230 posts · 2x/semana · fotos de resultado · conteúdo técnico</t>
        </is>
      </c>
    </row>
    <row r="22" ht="48" customHeight="1">
      <c r="A22" s="4" t="inlineStr">
        <is>
          <t>Clínica Dalis Novo Hamburgo</t>
        </is>
      </c>
      <c r="B22" s="5" t="inlineStr">
        <is>
          <t>Novo Hamburgo</t>
        </is>
      </c>
      <c r="C22" s="5" t="inlineStr">
        <is>
          <t>Odontologia &amp; Harmonização</t>
        </is>
      </c>
      <c r="D22" s="6">
        <f>HYPERLINK("https://instagram.com/clinicadalis","@clinicadalis")</f>
        <v/>
      </c>
      <c r="E22" s="6">
        <f>HYPERLINK("https://wa.me/5551999627290","(51) 99962-7290")</f>
        <v/>
      </c>
      <c r="F22" s="5" t="inlineStr">
        <is>
          <t>Clínica multiespecialidade com conteúdo de qualidade mas base de seguidores abaixo do porte — tráfego pago para escalar consultas</t>
        </is>
      </c>
      <c r="G22" s="5" t="inlineStr">
        <is>
          <t>2,6k seguidores · 310 posts · 3x/semana · stories ativos · engajamento médio</t>
        </is>
      </c>
    </row>
    <row r="23" ht="48" customHeight="1">
      <c r="A23" s="7" t="inlineStr">
        <is>
          <t>Espaço Facial Novo Hamburgo</t>
        </is>
      </c>
      <c r="B23" s="8" t="inlineStr">
        <is>
          <t>Novo Hamburgo</t>
        </is>
      </c>
      <c r="C23" s="8" t="inlineStr">
        <is>
          <t>Harmonização Facial</t>
        </is>
      </c>
      <c r="D23" s="9">
        <f>HYPERLINK("https://instagram.com/espacofacial_novohamburgo","@espacofacial_novohamburgo")</f>
        <v/>
      </c>
      <c r="E23" s="10" t="inlineStr"/>
      <c r="F23" s="8" t="inlineStr">
        <is>
          <t>Studio de harmonização com posts de resultado de qualidade mas alcance orgânico limitado em nicho premium e competitivo</t>
        </is>
      </c>
      <c r="G23" s="8" t="inlineStr">
        <is>
          <t>1,9k seguidores · 160 posts · 2x/semana · fotos de resultado · boa apresentação</t>
        </is>
      </c>
    </row>
    <row r="24" ht="48" customHeight="1">
      <c r="A24" s="4" t="inlineStr">
        <is>
          <t>Academia Viva Fitness NH</t>
        </is>
      </c>
      <c r="B24" s="5" t="inlineStr">
        <is>
          <t>Novo Hamburgo</t>
        </is>
      </c>
      <c r="C24" s="5" t="inlineStr">
        <is>
          <t>Fitness &amp; Saúde</t>
        </is>
      </c>
      <c r="D24" s="6">
        <f>HYPERLINK("https://instagram.com/academiavivafitnessnh","@academiavivafitnessnh")</f>
        <v/>
      </c>
      <c r="E24" s="11" t="inlineStr"/>
      <c r="F24" s="5" t="inlineStr">
        <is>
          <t>4.339 seguidores com conteúdo ativo e engajamento razoável — precisa de tráfego pago para bater metas de matrícula mensalmente</t>
        </is>
      </c>
      <c r="G24" s="5" t="inlineStr">
        <is>
          <t>4,3k seguidores · 480 posts · 4x/semana · reels de treino · stories diários</t>
        </is>
      </c>
    </row>
    <row r="25" ht="48" customHeight="1">
      <c r="A25" s="7" t="inlineStr">
        <is>
          <t>Cintia Ritzel Fisioterapia</t>
        </is>
      </c>
      <c r="B25" s="8" t="inlineStr">
        <is>
          <t>Novo Hamburgo</t>
        </is>
      </c>
      <c r="C25" s="8" t="inlineStr">
        <is>
          <t>Fisioterapia</t>
        </is>
      </c>
      <c r="D25" s="9">
        <f>HYPERLINK("https://instagram.com/cintiaritzelfisio","@cintiaritzelfisio")</f>
        <v/>
      </c>
      <c r="E25" s="10" t="inlineStr"/>
      <c r="F25" s="8" t="inlineStr">
        <is>
          <t>5.393 seguidores — maior fisioterapeuta da cidade com excelente conteúdo, mas agendamentos via Instagram ainda abaixo do potencial</t>
        </is>
      </c>
      <c r="G25" s="8" t="inlineStr">
        <is>
          <t>5,4k seguidores · 520 posts · 3-4x/semana · conteúdo educativo de alto nível</t>
        </is>
      </c>
    </row>
    <row r="26" ht="48" customHeight="1">
      <c r="A26" s="4" t="inlineStr">
        <is>
          <t>Oralunic Novo Hamburgo</t>
        </is>
      </c>
      <c r="B26" s="5" t="inlineStr">
        <is>
          <t>Novo Hamburgo</t>
        </is>
      </c>
      <c r="C26" s="5" t="inlineStr">
        <is>
          <t>Odontologia</t>
        </is>
      </c>
      <c r="D26" s="6">
        <f>HYPERLINK("https://instagram.com/oralunicnovohamburgo","@oralunicnovohamburgo")</f>
        <v/>
      </c>
      <c r="E26" s="11" t="inlineStr"/>
      <c r="F26" s="5" t="inlineStr">
        <is>
          <t>Clínica com 9 anos de mercado e 1.810 seguidores — maturidade operacional mas alcance digital aquém do histórico de mercado</t>
        </is>
      </c>
      <c r="G26" s="5" t="inlineStr">
        <is>
          <t>1,8k seguidores · 275 posts · 2x/semana · conteúdo técnico consistente</t>
        </is>
      </c>
    </row>
    <row r="27" ht="48" customHeight="1">
      <c r="A27" s="7" t="inlineStr">
        <is>
          <t>Pilates Ana Boff</t>
        </is>
      </c>
      <c r="B27" s="8" t="inlineStr">
        <is>
          <t>Novo Hamburgo</t>
        </is>
      </c>
      <c r="C27" s="8" t="inlineStr">
        <is>
          <t>Pilates</t>
        </is>
      </c>
      <c r="D27" s="9">
        <f>HYPERLINK("https://instagram.com/pilatesanaboff","@pilatesanaboff")</f>
        <v/>
      </c>
      <c r="E27" s="10" t="inlineStr"/>
      <c r="F27" s="8" t="inlineStr">
        <is>
          <t>Studio de pilates especializado com conteúdo de qualidade técnica mas baixa conversão digital — tráfego para atrair alunos novos</t>
        </is>
      </c>
      <c r="G27" s="8" t="inlineStr">
        <is>
          <t>1,2k seguidores · 190 posts · 2x/semana · vídeos de exercício · copy técnica</t>
        </is>
      </c>
    </row>
    <row r="28" ht="48" customHeight="1">
      <c r="A28" s="4" t="inlineStr">
        <is>
          <t>UniFisio NH</t>
        </is>
      </c>
      <c r="B28" s="5" t="inlineStr">
        <is>
          <t>Novo Hamburgo</t>
        </is>
      </c>
      <c r="C28" s="5" t="inlineStr">
        <is>
          <t>Fisioterapia</t>
        </is>
      </c>
      <c r="D28" s="6">
        <f>HYPERLINK("https://instagram.com/unifisionh","@unifisionh")</f>
        <v/>
      </c>
      <c r="E28" s="6">
        <f>HYPERLINK("tel:+555130666388","(51) 3066-6388")</f>
        <v/>
      </c>
      <c r="F28" s="5" t="inlineStr">
        <is>
          <t>30 anos de mercado mas presença digital subutilizada — conteúdo ok, o gargalo é alcance; tráfego pago para modernizar captação</t>
        </is>
      </c>
      <c r="G28" s="5" t="inlineStr">
        <is>
          <t>2,0k seguidores · 240 posts · 2x/semana · tradição de mercado · posts educativos</t>
        </is>
      </c>
    </row>
    <row r="29" ht="48" customHeight="1">
      <c r="A29" s="7" t="inlineStr">
        <is>
          <t>FisioMed Clínica Cachoeirinha</t>
        </is>
      </c>
      <c r="B29" s="8" t="inlineStr">
        <is>
          <t>Cachoeirinha</t>
        </is>
      </c>
      <c r="C29" s="8" t="inlineStr">
        <is>
          <t>Fisioterapia</t>
        </is>
      </c>
      <c r="D29" s="9">
        <f>HYPERLINK("https://instagram.com/fisiomed.clin","@fisiomed.clin")</f>
        <v/>
      </c>
      <c r="E29" s="10" t="inlineStr"/>
      <c r="F29" s="8" t="inlineStr">
        <is>
          <t>Clínica com 37 anos de tradição e conteúdo digital ativo — base estabelecida mas captação digital ainda abaixo do potencial</t>
        </is>
      </c>
      <c r="G29" s="8" t="inlineStr">
        <is>
          <t>1,7k seguidores · 200 posts · 2x/semana · posts de caso clínico · boa credibilidade</t>
        </is>
      </c>
    </row>
    <row r="30" ht="48" customHeight="1">
      <c r="A30" s="4" t="inlineStr">
        <is>
          <t>Centro Odontológico Cachoeirinha</t>
        </is>
      </c>
      <c r="B30" s="5" t="inlineStr">
        <is>
          <t>Cachoeirinha</t>
        </is>
      </c>
      <c r="C30" s="5" t="inlineStr">
        <is>
          <t>Odontologia</t>
        </is>
      </c>
      <c r="D30" s="6">
        <f>HYPERLINK("https://instagram.com/centroodontologicocachoeirinha","@centroodontologicocachoeirinha")</f>
        <v/>
      </c>
      <c r="E30" s="6">
        <f>HYPERLINK("tel:+555134704873","(51) 3470-4873")</f>
        <v/>
      </c>
      <c r="F30" s="5" t="inlineStr">
        <is>
          <t>Clínica estabelecida com conteúdo regular e boa identidade visual, mas alcance local limitado — tráfego para ampliar captação</t>
        </is>
      </c>
      <c r="G30" s="5" t="inlineStr">
        <is>
          <t>1,4k seguidores · 185 posts · 2x/semana · fotos de qualidade · identidade definida</t>
        </is>
      </c>
    </row>
    <row r="31" ht="48" customHeight="1">
      <c r="A31" s="7" t="inlineStr">
        <is>
          <t>TS Moviment Cachoeirinha</t>
        </is>
      </c>
      <c r="B31" s="8" t="inlineStr">
        <is>
          <t>Cachoeirinha</t>
        </is>
      </c>
      <c r="C31" s="8" t="inlineStr">
        <is>
          <t>Pilates &amp; Fisioterapia &amp; Estética</t>
        </is>
      </c>
      <c r="D31" s="9">
        <f>HYPERLINK("https://instagram.com/tsmoviment","@tsmoviment")</f>
        <v/>
      </c>
      <c r="E31" s="10" t="inlineStr"/>
      <c r="F31" s="8" t="inlineStr">
        <is>
          <t>Studio multidisciplinar com conteúdo ativo em 3 nichos, mas seguidores abaixo do potencial para o mix de serviços oferecido</t>
        </is>
      </c>
      <c r="G31" s="8" t="inlineStr">
        <is>
          <t>2,3k seguidores · 310 posts · 3x/semana · conteúdo variado · boa apresentação</t>
        </is>
      </c>
    </row>
    <row r="32" ht="48" customHeight="1">
      <c r="A32" s="4" t="inlineStr">
        <is>
          <t>Popular Clínica Viamão</t>
        </is>
      </c>
      <c r="B32" s="5" t="inlineStr">
        <is>
          <t>Viamão</t>
        </is>
      </c>
      <c r="C32" s="5" t="inlineStr">
        <is>
          <t>Saúde Geral &amp; Odontologia</t>
        </is>
      </c>
      <c r="D32" s="6">
        <f>HYPERLINK("https://instagram.com/popularclinicaviamao","@popularclinicaviamao")</f>
        <v/>
      </c>
      <c r="E32" s="11" t="inlineStr"/>
      <c r="F32" s="5" t="inlineStr">
        <is>
          <t>2.565 seguidores com conteúdo ativo — clínica popular com volume de atendimento mas captação digital ainda manual</t>
        </is>
      </c>
      <c r="G32" s="5" t="inlineStr">
        <is>
          <t>2,6k seguidores · 290 posts · 2x/semana · posts de serviços · stories ativos</t>
        </is>
      </c>
    </row>
    <row r="33" ht="48" customHeight="1">
      <c r="A33" s="7" t="inlineStr">
        <is>
          <t>Sul Saúde Viamão</t>
        </is>
      </c>
      <c r="B33" s="8" t="inlineStr">
        <is>
          <t>Viamão</t>
        </is>
      </c>
      <c r="C33" s="8" t="inlineStr">
        <is>
          <t>Saúde Multidisciplinar</t>
        </is>
      </c>
      <c r="D33" s="9">
        <f>HYPERLINK("https://instagram.com/sulsaude","@sulsaude")</f>
        <v/>
      </c>
      <c r="E33" s="10" t="inlineStr"/>
      <c r="F33" s="8" t="inlineStr">
        <is>
          <t>Desde 2014 com 1.577 seguidores — clínica consolidada mas presença digital estagnada; tráfego pago para reativar captação</t>
        </is>
      </c>
      <c r="G33" s="8" t="inlineStr">
        <is>
          <t>1,6k seguidores · 220 posts · 1-2x/semana · conteúdo de média qualidade</t>
        </is>
      </c>
    </row>
    <row r="34" ht="48" customHeight="1">
      <c r="A34" s="4" t="inlineStr">
        <is>
          <t>SorriFácil Viamão</t>
        </is>
      </c>
      <c r="B34" s="5" t="inlineStr">
        <is>
          <t>Viamão</t>
        </is>
      </c>
      <c r="C34" s="5" t="inlineStr">
        <is>
          <t>Odontologia</t>
        </is>
      </c>
      <c r="D34" s="6">
        <f>HYPERLINK("https://instagram.com/sorrifacil_viamao","@sorrifacil_viamao")</f>
        <v/>
      </c>
      <c r="E34" s="11" t="inlineStr"/>
      <c r="F34" s="5" t="inlineStr">
        <is>
          <t>Rede de franquias com 1.463 seguidores — conteúdo padronizado mas alcance local insuficiente; tráfego para ativar unidade</t>
        </is>
      </c>
      <c r="G34" s="5" t="inlineStr">
        <is>
          <t>1,5k seguidores · 175 posts · 2x/semana · material da rede · identidade consistente</t>
        </is>
      </c>
    </row>
    <row r="35" ht="48" customHeight="1">
      <c r="A35" s="7" t="inlineStr">
        <is>
          <t>Clínica Corpus Saúde</t>
        </is>
      </c>
      <c r="B35" s="8" t="inlineStr">
        <is>
          <t>Eldorado do Sul</t>
        </is>
      </c>
      <c r="C35" s="8" t="inlineStr">
        <is>
          <t>Fisioterapia &amp; Pilates &amp; Estética</t>
        </is>
      </c>
      <c r="D35" s="9">
        <f>HYPERLINK("https://instagram.com/clinica_corpus_saude","@clinica_corpus_saude")</f>
        <v/>
      </c>
      <c r="E35" s="9">
        <f>HYPERLINK("tel:+555133521340","(51) 3352-1340")</f>
        <v/>
      </c>
      <c r="F35" s="8" t="inlineStr">
        <is>
          <t>21.000 seguidores — maior clínica da região, conteúdo premium, mas investimento em tráfego ainda abaixo do potencial de conversão</t>
        </is>
      </c>
      <c r="G35" s="8" t="inlineStr">
        <is>
          <t>21k seguidores · 640 posts · 5x/semana · conteúdo de alta qualidade · stories ativos</t>
        </is>
      </c>
    </row>
    <row r="36" ht="48" customHeight="1">
      <c r="A36" s="4" t="inlineStr">
        <is>
          <t>Aurora Pilates</t>
        </is>
      </c>
      <c r="B36" s="5" t="inlineStr">
        <is>
          <t>Porto Alegre</t>
        </is>
      </c>
      <c r="C36" s="5" t="inlineStr">
        <is>
          <t>Pilates</t>
        </is>
      </c>
      <c r="D36" s="6">
        <f>HYPERLINK("https://instagram.com/aurorapilatesnoinsta","@aurorapilatesnoinsta")</f>
        <v/>
      </c>
      <c r="E36" s="11" t="inlineStr"/>
      <c r="F36" s="5" t="inlineStr">
        <is>
          <t>3.204 seguidores com excelente qualidade de conteúdo mas captação de alunos novos ainda baseada em indicação — tráfego para escalar</t>
        </is>
      </c>
      <c r="G36" s="5" t="inlineStr">
        <is>
          <t>3,2k seguidores · 340 posts · 3x/semana · reels de aula · conteúdo cuidadoso</t>
        </is>
      </c>
    </row>
    <row r="37" ht="48" customHeight="1">
      <c r="A37" s="7" t="inlineStr">
        <is>
          <t>Pilates e Cia POA</t>
        </is>
      </c>
      <c r="B37" s="8" t="inlineStr">
        <is>
          <t>Porto Alegre</t>
        </is>
      </c>
      <c r="C37" s="8" t="inlineStr">
        <is>
          <t>Pilates</t>
        </is>
      </c>
      <c r="D37" s="9">
        <f>HYPERLINK("https://instagram.com/pilateseciapoa","@pilateseciapoa")</f>
        <v/>
      </c>
      <c r="E37" s="10" t="inlineStr"/>
      <c r="F37" s="8" t="inlineStr">
        <is>
          <t>1.641 seguidores com postagem consistente — studio com boa estrutura e conteúdo, mas alcance orgânico não supre demanda de vagas</t>
        </is>
      </c>
      <c r="G37" s="8" t="inlineStr">
        <is>
          <t>1,6k seguidores · 260 posts · 2-3x/semana · vídeos de exercício · copy presente</t>
        </is>
      </c>
    </row>
    <row r="38" ht="48" customHeight="1">
      <c r="A38" s="4" t="inlineStr">
        <is>
          <t>Casa Mais Vida Porto Alegre</t>
        </is>
      </c>
      <c r="B38" s="5" t="inlineStr">
        <is>
          <t>Porto Alegre</t>
        </is>
      </c>
      <c r="C38" s="5" t="inlineStr">
        <is>
          <t>Pilates &amp; Fisioterapia</t>
        </is>
      </c>
      <c r="D38" s="6">
        <f>HYPERLINK("https://instagram.com/casamaisvida","@casamaisvida")</f>
        <v/>
      </c>
      <c r="E38" s="11" t="inlineStr"/>
      <c r="F38" s="5" t="inlineStr">
        <is>
          <t>2.778 seguidores com conteúdo de qualidade — studio consolidado mas captação digital manual e sem tráfego pago estruturado</t>
        </is>
      </c>
      <c r="G38" s="5" t="inlineStr">
        <is>
          <t>2,8k seguidores · 380 posts · 3x/semana · posts de resultado · identidade clara</t>
        </is>
      </c>
    </row>
    <row r="39" ht="48" customHeight="1">
      <c r="A39" s="7" t="inlineStr">
        <is>
          <t>Instituto Golden Clínica</t>
        </is>
      </c>
      <c r="B39" s="8" t="inlineStr">
        <is>
          <t>Porto Alegre</t>
        </is>
      </c>
      <c r="C39" s="8" t="inlineStr">
        <is>
          <t>Estética &amp; Harmonização</t>
        </is>
      </c>
      <c r="D39" s="9">
        <f>HYPERLINK("https://instagram.com/institutogolden_clinica","@institutogolden_clinica")</f>
        <v/>
      </c>
      <c r="E39" s="10" t="inlineStr"/>
      <c r="F39" s="8" t="inlineStr">
        <is>
          <t>2.963 seguidores com conteúdo de alto padrão visual — clínica premium com público-alvo definido mas tráfego ausente para escalar</t>
        </is>
      </c>
      <c r="G39" s="8" t="inlineStr">
        <is>
          <t>3,0k seguidores · 295 posts · 3x/semana · fotos premium · copy estratégica</t>
        </is>
      </c>
    </row>
    <row r="40" ht="48" customHeight="1">
      <c r="A40" s="4" t="inlineStr">
        <is>
          <t>Essência Pilates &amp; Fisio</t>
        </is>
      </c>
      <c r="B40" s="5" t="inlineStr">
        <is>
          <t>Porto Alegre</t>
        </is>
      </c>
      <c r="C40" s="5" t="inlineStr">
        <is>
          <t>Pilates &amp; Fisioterapia</t>
        </is>
      </c>
      <c r="D40" s="6">
        <f>HYPERLINK("https://instagram.com/essenciapilatesfisio","@essenciapilatesfisio")</f>
        <v/>
      </c>
      <c r="E40" s="11" t="inlineStr"/>
      <c r="F40" s="5" t="inlineStr">
        <is>
          <t>1.983 seguidores com conteúdo consistente — studio com dupla especialidade, boa produção, mas crescimento orgânico estagnado</t>
        </is>
      </c>
      <c r="G40" s="5" t="inlineStr">
        <is>
          <t>2,0k seguidores · 290 posts · 2x/semana · reels · carrosséis educativos</t>
        </is>
      </c>
    </row>
    <row r="41" ht="48" customHeight="1">
      <c r="A41" s="7" t="inlineStr">
        <is>
          <t>The Pilates Studio Porto Alegre</t>
        </is>
      </c>
      <c r="B41" s="8" t="inlineStr">
        <is>
          <t>Porto Alegre</t>
        </is>
      </c>
      <c r="C41" s="8" t="inlineStr">
        <is>
          <t>Pilates</t>
        </is>
      </c>
      <c r="D41" s="9">
        <f>HYPERLINK("https://instagram.com/thepilatesstudioportoalegre","@thepilatesstudioportoalegre")</f>
        <v/>
      </c>
      <c r="E41" s="10" t="inlineStr"/>
      <c r="F41" s="8" t="inlineStr">
        <is>
          <t>1.208 seguidores com conteúdo profissional — studio premium com poucos seguidores para o posicionamento; tráfego para crescer</t>
        </is>
      </c>
      <c r="G41" s="8" t="inlineStr">
        <is>
          <t>1,2k seguidores · 180 posts · 2x/semana · alta qualidade visual · low engagement</t>
        </is>
      </c>
    </row>
    <row r="42" ht="48" customHeight="1">
      <c r="A42" s="4" t="inlineStr">
        <is>
          <t>Studio Porto Alegre Pilates</t>
        </is>
      </c>
      <c r="B42" s="5" t="inlineStr">
        <is>
          <t>Porto Alegre</t>
        </is>
      </c>
      <c r="C42" s="5" t="inlineStr">
        <is>
          <t>Pilates</t>
        </is>
      </c>
      <c r="D42" s="6">
        <f>HYPERLINK("https://instagram.com/studioportoalegre","@studioportoalegre")</f>
        <v/>
      </c>
      <c r="E42" s="11" t="inlineStr"/>
      <c r="F42" s="5" t="inlineStr">
        <is>
          <t>741 seguidores com conteúdo ativo — studio com estrutura profissional mas muito abaixo do radar digital; tráfego para decolagem</t>
        </is>
      </c>
      <c r="G42" s="5" t="inlineStr">
        <is>
          <t>741 seguidores · 145 posts · 2x/semana · posts regulares · identidade ok</t>
        </is>
      </c>
    </row>
    <row r="43" ht="48" customHeight="1">
      <c r="A43" s="7" t="inlineStr">
        <is>
          <t>DM Fisioterapia e Pilates</t>
        </is>
      </c>
      <c r="B43" s="8" t="inlineStr">
        <is>
          <t>Porto Alegre</t>
        </is>
      </c>
      <c r="C43" s="8" t="inlineStr">
        <is>
          <t>Fisioterapia &amp; Pilates</t>
        </is>
      </c>
      <c r="D43" s="9">
        <f>HYPERLINK("https://instagram.com/dmfisioterapiaepilates","@dmfisioterapiaepilates")</f>
        <v/>
      </c>
      <c r="E43" s="10" t="inlineStr"/>
      <c r="F43" s="8" t="inlineStr">
        <is>
          <t>726 seguidores (Zona Norte POA) com conteúdo regular — clínica de bairro com potencial de captação local inexplorado via tráfego</t>
        </is>
      </c>
      <c r="G43" s="8" t="inlineStr">
        <is>
          <t>726 seguidores · 130 posts · 1-2x/semana · posts informativos · copy simples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2026-04-12T18:59:08Z</dcterms:created>
  <dcterms:modified xmlns:dcterms="http://purl.org/dc/terms/" xmlns:xsi="http://www.w3.org/2001/XMLSchema-instance" xsi:type="dcterms:W3CDTF">2026-04-12T18:59:08Z</dcterms:modified>
</cp:coreProperties>
</file>