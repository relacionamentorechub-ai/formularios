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ÁFEGO + CONTEÚ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30" customWidth="1" min="4" max="4"/>
    <col width="24" customWidth="1" min="5" max="5"/>
    <col width="42" customWidth="1" min="6" max="6"/>
    <col width="36" customWidth="1" min="7" max="7"/>
  </cols>
  <sheetData>
    <row r="1" ht="30" customHeight="1">
      <c r="A1" s="1" t="inlineStr">
        <is>
          <t>🎯 LEADS — TRÁFEGO + GERAÇÃO DE CONTEÚDO | PSICOLOGIA · SAÚDE · ESTÉTICA · MÓVEIS PLANEJADOS | Semana 3 — ABRIL</t>
        </is>
      </c>
    </row>
    <row r="2" ht="18" customHeight="1">
      <c r="A2" s="2" t="inlineStr">
        <is>
          <t>Total de leads: 25</t>
        </is>
      </c>
    </row>
    <row r="3" ht="32" customHeight="1">
      <c r="A3" s="3" t="inlineStr">
        <is>
          <t>NOME</t>
        </is>
      </c>
      <c r="B3" s="3" t="inlineStr">
        <is>
          <t>CIDADE</t>
        </is>
      </c>
      <c r="C3" s="3" t="inlineStr">
        <is>
          <t>NICHO</t>
        </is>
      </c>
      <c r="D3" s="3" t="inlineStr">
        <is>
          <t>INSTAGRAM</t>
        </is>
      </c>
      <c r="E3" s="3" t="inlineStr">
        <is>
          <t>TELEFONE / WHATSAPP</t>
        </is>
      </c>
      <c r="F3" s="3" t="inlineStr">
        <is>
          <t>PRINCIPAL PROBLEMA</t>
        </is>
      </c>
      <c r="G3" s="3" t="inlineStr">
        <is>
          <t>MÉTRICAS BÁSICAS</t>
        </is>
      </c>
    </row>
    <row r="4" ht="48" customHeight="1">
      <c r="A4" s="4" t="inlineStr">
        <is>
          <t>Nathalia Garbin — Psicóloga</t>
        </is>
      </c>
      <c r="B4" s="5" t="inlineStr">
        <is>
          <t>Passo Fundo</t>
        </is>
      </c>
      <c r="C4" s="5" t="inlineStr">
        <is>
          <t>Psicologia</t>
        </is>
      </c>
      <c r="D4" s="6">
        <f>HYPERLINK("https://www.instagram.com/psico.nathigarbin/","@psico.nathigarbin")</f>
        <v/>
      </c>
      <c r="E4" s="7" t="inlineStr"/>
      <c r="F4" s="5" t="inlineStr">
        <is>
          <t>5.6k seguidores mas apenas 176 posts — baixa frequência para o volume de seguidores. Precisa estruturar calendário de conteúdo + tráfego para converter audiência em pacientes.</t>
        </is>
      </c>
      <c r="G4" s="5" t="inlineStr">
        <is>
          <t>5.610 seguidores · 176 posts · frequência irregular · TCC · online e presencial</t>
        </is>
      </c>
    </row>
    <row r="5" ht="48" customHeight="1">
      <c r="A5" s="8" t="inlineStr">
        <is>
          <t>Aline Trevisol — Psicóloga</t>
        </is>
      </c>
      <c r="B5" s="9" t="inlineStr">
        <is>
          <t>Passo Fundo</t>
        </is>
      </c>
      <c r="C5" s="9" t="inlineStr">
        <is>
          <t>Psicologia</t>
        </is>
      </c>
      <c r="D5" s="10">
        <f>HYPERLINK("https://www.instagram.com/alinetrevisol.psi/","@alinetrevisol.psi")</f>
        <v/>
      </c>
      <c r="E5" s="11" t="inlineStr"/>
      <c r="F5" s="9" t="inlineStr">
        <is>
          <t>Perfil em crescimento com 1.8k seguidores. Precisa de estratégia de conteúdo consistente + tráfego pago para escalar captação de pacientes de TCC.</t>
        </is>
      </c>
      <c r="G5" s="9" t="inlineStr">
        <is>
          <t>1.791 seguidores · crescendo · TCC · online e presencial · Passo Fundo</t>
        </is>
      </c>
    </row>
    <row r="6" ht="48" customHeight="1">
      <c r="A6" s="4" t="inlineStr">
        <is>
          <t>Gabriela Possan — Psicóloga</t>
        </is>
      </c>
      <c r="B6" s="5" t="inlineStr">
        <is>
          <t>Passo Fundo</t>
        </is>
      </c>
      <c r="C6" s="5" t="inlineStr">
        <is>
          <t>Psicologia</t>
        </is>
      </c>
      <c r="D6" s="6">
        <f>HYPERLINK("https://www.instagram.com/psigabrielapossan/","@psigabrielapossan")</f>
        <v/>
      </c>
      <c r="E6" s="7" t="inlineStr"/>
      <c r="F6" s="5" t="inlineStr">
        <is>
          <t>Perfil com baixa presença digital — poucos seguidores e posts escassos. Necessita estruturação completa de conteúdo + estratégia de tráfego para atrair pacientes.</t>
        </is>
      </c>
      <c r="G6" s="5" t="inlineStr">
        <is>
          <t>seguidores baixos · posts escassos · psicóloga clínica · Passo Fundo</t>
        </is>
      </c>
    </row>
    <row r="7" ht="48" customHeight="1">
      <c r="A7" s="8" t="inlineStr">
        <is>
          <t>Consultório 302 — Psicólogo</t>
        </is>
      </c>
      <c r="B7" s="9" t="inlineStr">
        <is>
          <t>Passo Fundo</t>
        </is>
      </c>
      <c r="C7" s="9" t="inlineStr">
        <is>
          <t>Psicologia</t>
        </is>
      </c>
      <c r="D7" s="10">
        <f>HYPERLINK("https://www.instagram.com/302.consultorio/","@302.consultorio")</f>
        <v/>
      </c>
      <c r="E7" s="11" t="inlineStr"/>
      <c r="F7" s="9" t="inlineStr">
        <is>
          <t>Perfil de consultório com poucos posts e identidade visual em desenvolvimento. Precisa de conteúdo estratégico + tráfego para se posicionar no mercado de PF.</t>
        </is>
      </c>
      <c r="G7" s="9" t="inlineStr">
        <is>
          <t>perfil iniciante · posts escassos · Av. Sete de Setembro, Centro · PF</t>
        </is>
      </c>
    </row>
    <row r="8" ht="48" customHeight="1">
      <c r="A8" s="4" t="inlineStr">
        <is>
          <t>Spec Psiquiatria — Passo Fundo</t>
        </is>
      </c>
      <c r="B8" s="5" t="inlineStr">
        <is>
          <t>Passo Fundo</t>
        </is>
      </c>
      <c r="C8" s="5" t="inlineStr">
        <is>
          <t>Psiquiatria</t>
        </is>
      </c>
      <c r="D8" s="6">
        <f>HYPERLINK("https://www.instagram.com/specpsiquiatria/","@specpsiquiatria")</f>
        <v/>
      </c>
      <c r="E8" s="7" t="inlineStr"/>
      <c r="F8" s="5" t="inlineStr">
        <is>
          <t>905 seguidores e baixa frequência de posts. Psiquiatria é nicho de alta demanda em PF. Conteúdo educativo + tráfego pago para consultas seria diferencial competitivo.</t>
        </is>
      </c>
      <c r="G8" s="5" t="inlineStr">
        <is>
          <t>905 seguidores · baixa frequência · psiquiatria · estimulação cerebral</t>
        </is>
      </c>
    </row>
    <row r="9" ht="48" customHeight="1">
      <c r="A9" s="8" t="inlineStr">
        <is>
          <t>Regina Manfroi — Psiquiatra</t>
        </is>
      </c>
      <c r="B9" s="9" t="inlineStr">
        <is>
          <t>Passo Fundo</t>
        </is>
      </c>
      <c r="C9" s="9" t="inlineStr">
        <is>
          <t>Psiquiatria</t>
        </is>
      </c>
      <c r="D9" s="10">
        <f>HYPERLINK("https://www.instagram.com/reginamanfroipsiquiatra/","@reginamanfroipsiquiatra")</f>
        <v/>
      </c>
      <c r="E9" s="11" t="inlineStr"/>
      <c r="F9" s="9" t="inlineStr">
        <is>
          <t>Perfil profissional com pouca estratégia de conteúdo. Psiquiatra em PF com alto potencial de captação digital. Conteúdo + tráfego preencheria agenda mais rápido.</t>
        </is>
      </c>
      <c r="G9" s="9" t="inlineStr">
        <is>
          <t>perfil profissional · posts esporádicos · psiquiatra · Passo Fundo</t>
        </is>
      </c>
    </row>
    <row r="10" ht="48" customHeight="1">
      <c r="A10" s="4" t="inlineStr">
        <is>
          <t>Natália Vieira — Psicóloga</t>
        </is>
      </c>
      <c r="B10" s="5" t="inlineStr">
        <is>
          <t>Passo Fundo</t>
        </is>
      </c>
      <c r="C10" s="5" t="inlineStr">
        <is>
          <t>Psicologia</t>
        </is>
      </c>
      <c r="D10" s="6">
        <f>HYPERLINK("https://www.instagram.com/psico.nataliavieira/","@psico.nataliavieira")</f>
        <v/>
      </c>
      <c r="E10" s="7" t="inlineStr"/>
      <c r="F10" s="5" t="inlineStr">
        <is>
          <t>Perfil pequeno com reels esporádicos. Sem estratégia de conteúdo definida. Necessita calendário editorial consistente + tráfego para escalar captação de pacientes.</t>
        </is>
      </c>
      <c r="G10" s="5" t="inlineStr">
        <is>
          <t>seguidores baixos · reels esporádicos · psicóloga · Passo Fundo</t>
        </is>
      </c>
    </row>
    <row r="11" ht="48" customHeight="1">
      <c r="A11" s="8" t="inlineStr">
        <is>
          <t>Brenda Marins — Nutricionista</t>
        </is>
      </c>
      <c r="B11" s="9" t="inlineStr">
        <is>
          <t>Passo Fundo</t>
        </is>
      </c>
      <c r="C11" s="9" t="inlineStr">
        <is>
          <t>Nutrição</t>
        </is>
      </c>
      <c r="D11" s="10">
        <f>HYPERLINK("https://www.instagram.com/bremarinsnutri/","@bremarinsnutri")</f>
        <v/>
      </c>
      <c r="E11" s="11" t="inlineStr"/>
      <c r="F11" s="9" t="inlineStr">
        <is>
          <t>Nutricionista solo com presença digital em desenvolvimento. Sem estratégia de conteúdo clara. Precisa de identidade visual, calendário editorial e tráfego pago para atrair pacientes.</t>
        </is>
      </c>
      <c r="G11" s="9" t="inlineStr">
        <is>
          <t>perfil solo · nutricionista · Passo Fundo e online · crescimento inicial</t>
        </is>
      </c>
    </row>
    <row r="12" ht="48" customHeight="1">
      <c r="A12" s="4" t="inlineStr">
        <is>
          <t>Taísa Annes — Nutricionista</t>
        </is>
      </c>
      <c r="B12" s="5" t="inlineStr">
        <is>
          <t>Passo Fundo</t>
        </is>
      </c>
      <c r="C12" s="5" t="inlineStr">
        <is>
          <t>Nutrição</t>
        </is>
      </c>
      <c r="D12" s="6">
        <f>HYPERLINK("https://www.instagram.com/nutritaisa/","@nutritaisa")</f>
        <v/>
      </c>
      <c r="E12" s="7" t="inlineStr"/>
      <c r="F12" s="5" t="inlineStr">
        <is>
          <t>Perfil de nutricionista com baixa frequência de posts e sem identidade visual forte. Conteúdo estratégico sobre alimentação + tráfego seria diferencial para captação.</t>
        </is>
      </c>
      <c r="G12" s="5" t="inlineStr">
        <is>
          <t>perfil solo · nutricionista · Passo Fundo · frequência baixa</t>
        </is>
      </c>
    </row>
    <row r="13" ht="48" customHeight="1">
      <c r="A13" s="8" t="inlineStr">
        <is>
          <t>Cynthia Ianiski — Nutricionista</t>
        </is>
      </c>
      <c r="B13" s="9" t="inlineStr">
        <is>
          <t>Passo Fundo</t>
        </is>
      </c>
      <c r="C13" s="9" t="inlineStr">
        <is>
          <t>Nutrição</t>
        </is>
      </c>
      <c r="D13" s="10">
        <f>HYPERLINK("https://www.instagram.com/nutri_cynthiaianiski/","@nutri_cynthiaianiski")</f>
        <v/>
      </c>
      <c r="E13" s="11" t="inlineStr"/>
      <c r="F13" s="9" t="inlineStr">
        <is>
          <t>Nutricionista clínica funcional com perfil no Instagram mas sem estratégia de conteúdo estruturada. Pós-graduação é diferencial — precisa ser comunicado via conteúdo + tráfego.</t>
        </is>
      </c>
      <c r="G13" s="9" t="inlineStr">
        <is>
          <t>nutricionista clínica funcional · pós-graduação · Passo Fundo · posts irregulares</t>
        </is>
      </c>
    </row>
    <row r="14" ht="48" customHeight="1">
      <c r="A14" s="4" t="inlineStr">
        <is>
          <t>Thales Silva — Fisioterapeuta</t>
        </is>
      </c>
      <c r="B14" s="5" t="inlineStr">
        <is>
          <t>Passo Fundo</t>
        </is>
      </c>
      <c r="C14" s="5" t="inlineStr">
        <is>
          <t>Fisioterapia</t>
        </is>
      </c>
      <c r="D14" s="6">
        <f>HYPERLINK("https://www.instagram.com/fisiothales/","@fisiothales")</f>
        <v/>
      </c>
      <c r="E14" s="7" t="inlineStr"/>
      <c r="F14" s="5" t="inlineStr">
        <is>
          <t>Fisioterapeuta especializado em hidroterapia e home care. Nicho com alta demanda. Sem conteúdo estratégico ou tráfego — potencial enorme para captação digital.</t>
        </is>
      </c>
      <c r="G14" s="5" t="inlineStr">
        <is>
          <t>fisioterapeuta · hidroterapia · home care · Passo Fundo · posts escassos</t>
        </is>
      </c>
    </row>
    <row r="15" ht="48" customHeight="1">
      <c r="A15" s="8" t="inlineStr">
        <is>
          <t>Vitta Osteopatia e Pilates</t>
        </is>
      </c>
      <c r="B15" s="9" t="inlineStr">
        <is>
          <t>Passo Fundo</t>
        </is>
      </c>
      <c r="C15" s="9" t="inlineStr">
        <is>
          <t>Fisioterapia / Pilates</t>
        </is>
      </c>
      <c r="D15" s="10">
        <f>HYPERLINK("https://www.instagram.com/vittaosteopatiaepilates/","@vittaosteopatiaepilates")</f>
        <v/>
      </c>
      <c r="E15" s="11" t="inlineStr"/>
      <c r="F15" s="9" t="inlineStr">
        <is>
          <t>Studio de pilates e osteopatia com presença digital incipiente. Sem identidade de conteúdo clara. Conteúdo + tráfego para captação de alunos de pilates seria decisivo.</t>
        </is>
      </c>
      <c r="G15" s="9" t="inlineStr">
        <is>
          <t>studio pilates + osteopatia · Passo Fundo · presença digital fraca</t>
        </is>
      </c>
    </row>
    <row r="16" ht="48" customHeight="1">
      <c r="A16" s="4" t="inlineStr">
        <is>
          <t>Fisiocenter PF</t>
        </is>
      </c>
      <c r="B16" s="5" t="inlineStr">
        <is>
          <t>Passo Fundo</t>
        </is>
      </c>
      <c r="C16" s="5" t="inlineStr">
        <is>
          <t>Fisioterapia</t>
        </is>
      </c>
      <c r="D16" s="6">
        <f>HYPERLINK("https://www.instagram.com/fisiocenterpf/","@fisiocenterpf")</f>
        <v/>
      </c>
      <c r="E16" s="7" t="inlineStr"/>
      <c r="F16" s="5" t="inlineStr">
        <is>
          <t>Clínica de fisioterapia com perfil ativo mas sem estratégia de conteúdo definida. Posts institucionais e sem engajamento claro. Precisa de conteúdo educativo + tráfego pago.</t>
        </is>
      </c>
      <c r="G16" s="5" t="inlineStr">
        <is>
          <t>clínica fisioterapia · Passo Fundo · conteúdo institucional fraco</t>
        </is>
      </c>
    </row>
    <row r="17" ht="48" customHeight="1">
      <c r="A17" s="8" t="inlineStr">
        <is>
          <t>OdontoMed PF</t>
        </is>
      </c>
      <c r="B17" s="9" t="inlineStr">
        <is>
          <t>Passo Fundo</t>
        </is>
      </c>
      <c r="C17" s="9" t="inlineStr">
        <is>
          <t>Odontologia</t>
        </is>
      </c>
      <c r="D17" s="10">
        <f>HYPERLINK("https://www.instagram.com/odontomed01pf/","@odontomed01pf")</f>
        <v/>
      </c>
      <c r="E17" s="11" t="inlineStr"/>
      <c r="F17" s="9" t="inlineStr">
        <is>
          <t>Clínica odontológica com perfil existente mas pouca estratégia de conteúdo. Sem identidade visual clara. Conteúdo de estética dental + tráfego captaria pacientes de alto ticket.</t>
        </is>
      </c>
      <c r="G17" s="9" t="inlineStr">
        <is>
          <t>clínica odontológica · Passo Fundo · posts escassos · sem identidade visual</t>
        </is>
      </c>
    </row>
    <row r="18" ht="48" customHeight="1">
      <c r="A18" s="4" t="inlineStr">
        <is>
          <t>Fisio Saúde PF</t>
        </is>
      </c>
      <c r="B18" s="5" t="inlineStr">
        <is>
          <t>Passo Fundo</t>
        </is>
      </c>
      <c r="C18" s="5" t="inlineStr">
        <is>
          <t>Fisioterapia</t>
        </is>
      </c>
      <c r="D18" s="6">
        <f>HYPERLINK("https://www.instagram.com/fisiosaudefs/","@fisiosaudefs")</f>
        <v/>
      </c>
      <c r="E18" s="7" t="inlineStr"/>
      <c r="F18" s="5" t="inlineStr">
        <is>
          <t>Clínica de fisioterapia com presença digital básica. Falta conteúdo educativo que demonstre expertise. Conteúdo estratégico + tráfego captaria pacientes pós-cirúrgicos e esportivos.</t>
        </is>
      </c>
      <c r="G18" s="5" t="inlineStr">
        <is>
          <t>clínica fisioterapia · Passo Fundo · identidade digital incipiente</t>
        </is>
      </c>
    </row>
    <row r="19" ht="48" customHeight="1">
      <c r="A19" s="8" t="inlineStr">
        <is>
          <t>Oásis — Saúde e Estética</t>
        </is>
      </c>
      <c r="B19" s="9" t="inlineStr">
        <is>
          <t>Passo Fundo</t>
        </is>
      </c>
      <c r="C19" s="9" t="inlineStr">
        <is>
          <t>Estética / Saúde</t>
        </is>
      </c>
      <c r="D19" s="10">
        <f>HYPERLINK("https://www.instagram.com/oasis.esteticasaude/","@oasis.esteticasaude")</f>
        <v/>
      </c>
      <c r="E19" s="11" t="inlineStr"/>
      <c r="F19" s="9" t="inlineStr">
        <is>
          <t>1.9k seguidores e presença digital básica. Sem calendário editorial claro nem identidade visual forte. Conteúdo + tráfego pago seria diferencial para aumentar agenda de procedimentos.</t>
        </is>
      </c>
      <c r="G19" s="9" t="inlineStr">
        <is>
          <t>1.964 seguidores · estética corporal e facial · Passo Fundo · posts irregulares</t>
        </is>
      </c>
    </row>
    <row r="20" ht="48" customHeight="1">
      <c r="A20" s="4" t="inlineStr">
        <is>
          <t>GiO Estética Avançada — PF</t>
        </is>
      </c>
      <c r="B20" s="5" t="inlineStr">
        <is>
          <t>Passo Fundo</t>
        </is>
      </c>
      <c r="C20" s="5" t="inlineStr">
        <is>
          <t>Estética Avançada</t>
        </is>
      </c>
      <c r="D20" s="6">
        <f>HYPERLINK("https://www.instagram.com/gioesteticapassofundo/","@gioesteticapassofundo")</f>
        <v/>
      </c>
      <c r="E20" s="7" t="inlineStr"/>
      <c r="F20" s="5" t="inlineStr">
        <is>
          <t>Estética avançada com presença digital básica em Passo Fundo. Sem identidade de conteúdo definida. Conteúdo de resultados (antes/depois) + tráfego geraria alta conversão.</t>
        </is>
      </c>
      <c r="G20" s="5" t="inlineStr">
        <is>
          <t>estética avançada · Passo Fundo · presença digital inicial</t>
        </is>
      </c>
    </row>
    <row r="21" ht="48" customHeight="1">
      <c r="A21" s="8" t="inlineStr">
        <is>
          <t>Elis Capelini — Estética Auricular</t>
        </is>
      </c>
      <c r="B21" s="9" t="inlineStr">
        <is>
          <t>Passo Fundo</t>
        </is>
      </c>
      <c r="C21" s="9" t="inlineStr">
        <is>
          <t>Estética / Enfermagem</t>
        </is>
      </c>
      <c r="D21" s="10">
        <f>HYPERLINK("https://www.instagram.com/enf.elis_furohumanizado/","@enf.elis_furohumanizado")</f>
        <v/>
      </c>
      <c r="E21" s="11" t="inlineStr"/>
      <c r="F21" s="9" t="inlineStr">
        <is>
          <t>Mais de 2.000 procedimentos realizados mas perfil digital sem estratégia. Nicho específico com diferencial competitivo claro. Conteúdo educativo + tráfego captaria clientes qualificados.</t>
        </is>
      </c>
      <c r="G21" s="9" t="inlineStr">
        <is>
          <t>2.000+ procedimentos · furo humanizado · Passo Fundo · conteúdo sem estratégia</t>
        </is>
      </c>
    </row>
    <row r="22" ht="48" customHeight="1">
      <c r="A22" s="4" t="inlineStr">
        <is>
          <t>Tatiana Stein — Massoterapeuta</t>
        </is>
      </c>
      <c r="B22" s="5" t="inlineStr">
        <is>
          <t>Passo Fundo</t>
        </is>
      </c>
      <c r="C22" s="5" t="inlineStr">
        <is>
          <t>Estética / Massoterapia</t>
        </is>
      </c>
      <c r="D22" s="6">
        <f>HYPERLINK("https://www.instagram.com/steinmassoterapeuta/","@steinmassoterapeuta")</f>
        <v/>
      </c>
      <c r="E22" s="7" t="inlineStr"/>
      <c r="F22" s="5" t="inlineStr">
        <is>
          <t>Profissional solo com presença digital fraca. Sem conteúdo educativo sobre benefícios de massoterapia. Conteúdo + tráfego pago para captação de clientes corporativos e spa.</t>
        </is>
      </c>
      <c r="G22" s="5" t="inlineStr">
        <is>
          <t>massoterapeuta · Passo Fundo · presença digital incipiente</t>
        </is>
      </c>
    </row>
    <row r="23" ht="48" customHeight="1">
      <c r="A23" s="8" t="inlineStr">
        <is>
          <t>AD Clinic — Passo Fundo</t>
        </is>
      </c>
      <c r="B23" s="9" t="inlineStr">
        <is>
          <t>Passo Fundo</t>
        </is>
      </c>
      <c r="C23" s="9" t="inlineStr">
        <is>
          <t>Estética / Saúde</t>
        </is>
      </c>
      <c r="D23" s="10">
        <f>HYPERLINK("https://www.instagram.com/adclinic.passofundo/","@adclinic.passofundo")</f>
        <v/>
      </c>
      <c r="E23" s="11" t="inlineStr"/>
      <c r="F23" s="9" t="inlineStr">
        <is>
          <t>Clínica com presença no Instagram mas sem estratégia de conteúdo definida. Sem identidade visual forte. Conteúdo de procedimentos + tráfego pago captaria leads qualificados.</t>
        </is>
      </c>
      <c r="G23" s="9" t="inlineStr">
        <is>
          <t>clínica estética · Passo Fundo · identidade digital em construção</t>
        </is>
      </c>
    </row>
    <row r="24" ht="48" customHeight="1">
      <c r="A24" s="4" t="inlineStr">
        <is>
          <t>Saad Móveis Sob Medida</t>
        </is>
      </c>
      <c r="B24" s="5" t="inlineStr">
        <is>
          <t>Passo Fundo</t>
        </is>
      </c>
      <c r="C24" s="5" t="inlineStr">
        <is>
          <t>Móveis Planejados</t>
        </is>
      </c>
      <c r="D24" s="6">
        <f>HYPERLINK("https://www.instagram.com/saad_moveis/","@saad_moveis")</f>
        <v/>
      </c>
      <c r="E24" s="6">
        <f>HYPERLINK("https://wa.me/5554991965095","(54) 99196-5095")</f>
        <v/>
      </c>
      <c r="F24" s="5" t="inlineStr">
        <is>
          <t>Apenas 442 seguidores com 20+ anos de experiência — enorme contraste. Sem identidade visual digital. Conteúdo de projetos + tráfego pago transformaria o boca a boca em captação escalável.</t>
        </is>
      </c>
      <c r="G24" s="5" t="inlineStr">
        <is>
          <t>442 seguidores · 20+ anos de mercado · Passo Fundo · posts escassos</t>
        </is>
      </c>
    </row>
    <row r="25" ht="48" customHeight="1">
      <c r="A25" s="8" t="inlineStr">
        <is>
          <t>Scherer Móveis Sob Medida</t>
        </is>
      </c>
      <c r="B25" s="9" t="inlineStr">
        <is>
          <t>Passo Fundo</t>
        </is>
      </c>
      <c r="C25" s="9" t="inlineStr">
        <is>
          <t>Móveis Planejados</t>
        </is>
      </c>
      <c r="D25" s="10">
        <f>HYPERLINK("https://www.instagram.com/scherermobile/","@scherermobile")</f>
        <v/>
      </c>
      <c r="E25" s="11" t="inlineStr"/>
      <c r="F25" s="9" t="inlineStr">
        <is>
          <t>1.1k seguidores e 161 posts com frequência baixa. Sem posicionamento de marca claro online. Conteúdo de projetos executados + tráfego pago geraria orçamentos qualificados.</t>
        </is>
      </c>
      <c r="G25" s="9" t="inlineStr">
        <is>
          <t>1.102 seguidores · 161 posts · frequência baixa · Passo Fundo</t>
        </is>
      </c>
    </row>
    <row r="26" ht="48" customHeight="1">
      <c r="A26" s="4" t="inlineStr">
        <is>
          <t>TEC Móveis Planejados</t>
        </is>
      </c>
      <c r="B26" s="5" t="inlineStr">
        <is>
          <t>Passo Fundo</t>
        </is>
      </c>
      <c r="C26" s="5" t="inlineStr">
        <is>
          <t>Móveis Planejados</t>
        </is>
      </c>
      <c r="D26" s="6">
        <f>HYPERLINK("https://www.instagram.com/tec_moveis_ltda/","@tec_moveis_ltda")</f>
        <v/>
      </c>
      <c r="E26" s="7" t="inlineStr"/>
      <c r="F26" s="5" t="inlineStr">
        <is>
          <t>Marcenaria com presença no Instagram mas sem estratégia de conteúdo definida. Sem portfólio digital claro. Conteúdo de antes/depois de projetos + tráfego aumentaria captação de orçamentos.</t>
        </is>
      </c>
      <c r="G26" s="5" t="inlineStr">
        <is>
          <t>marcenaria · Passo Fundo · presença digital básica</t>
        </is>
      </c>
    </row>
    <row r="27" ht="48" customHeight="1">
      <c r="A27" s="8" t="inlineStr">
        <is>
          <t>Art e Design Móveis Sob Medida</t>
        </is>
      </c>
      <c r="B27" s="9" t="inlineStr">
        <is>
          <t>Passo Fundo</t>
        </is>
      </c>
      <c r="C27" s="9" t="inlineStr">
        <is>
          <t>Móveis Planejados</t>
        </is>
      </c>
      <c r="D27" s="10">
        <f>HYPERLINK("https://www.instagram.com/moveisaed/","@moveisaed")</f>
        <v/>
      </c>
      <c r="E27" s="11" t="inlineStr"/>
      <c r="F27" s="9" t="inlineStr">
        <is>
          <t>Móveis sofisticados e inovadores com pouca presença digital efetiva. Sem conteúdo de projetos com frequência. Conteúdo visual de alta qualidade + tráfego captaria clientes de alto padrão.</t>
        </is>
      </c>
      <c r="G27" s="9" t="inlineStr">
        <is>
          <t>móveis sob medida · RS e SC · posts irregulares · design sofisticado</t>
        </is>
      </c>
    </row>
    <row r="28" ht="48" customHeight="1">
      <c r="A28" s="4" t="inlineStr">
        <is>
          <t>Vizzatu Planejados</t>
        </is>
      </c>
      <c r="B28" s="5" t="inlineStr">
        <is>
          <t>Passo Fundo</t>
        </is>
      </c>
      <c r="C28" s="5" t="inlineStr">
        <is>
          <t>Móveis Planejados</t>
        </is>
      </c>
      <c r="D28" s="6">
        <f>HYPERLINK("https://www.instagram.com/vizzatuplanejados/","@vizzatuplanejados")</f>
        <v/>
      </c>
      <c r="E28" s="7" t="inlineStr"/>
      <c r="F28" s="5" t="inlineStr">
        <is>
          <t>Empresa de planejados com presença digital em desenvolvimento. Sem estratégia de conteúdo clara. Portfólio de projetos + tráfego pago para captação de orçamentos.</t>
        </is>
      </c>
      <c r="G28" s="5" t="inlineStr">
        <is>
          <t>móveis planejados sob medida · Passo Fundo · presença digital inicial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2026-04-16T02:15:34Z</dcterms:created>
  <dcterms:modified xmlns:dcterms="http://purl.org/dc/terms/" xmlns:xsi="http://www.w3.org/2001/XMLSchema-instance" xsi:type="dcterms:W3CDTF">2026-04-16T02:15:35Z</dcterms:modified>
</cp:coreProperties>
</file>